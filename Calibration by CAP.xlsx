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ongph4.VPBANK\Desktop\Validation Coporate model\PD Calibration\"/>
    </mc:Choice>
  </mc:AlternateContent>
  <bookViews>
    <workbookView xWindow="0" yWindow="0" windowWidth="20490" windowHeight="9195" activeTab="2"/>
  </bookViews>
  <sheets>
    <sheet name="Sample" sheetId="1" r:id="rId1"/>
    <sheet name="36" sheetId="4" r:id="rId2"/>
    <sheet name="11" sheetId="2" r:id="rId3"/>
  </sheets>
  <definedNames>
    <definedName name="solver_adj" localSheetId="2" hidden="1">'11'!$F$1</definedName>
    <definedName name="solver_adj" localSheetId="1" hidden="1">'36'!$F$28</definedName>
    <definedName name="solver_adj" localSheetId="0" hidden="1">Sample!$E$1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ng" localSheetId="2" hidden="1">1</definedName>
    <definedName name="solver_eng" localSheetId="1" hidden="1">1</definedName>
    <definedName name="solver_eng" localSheetId="0" hidden="1">1</definedName>
    <definedName name="solver_est" localSheetId="2" hidden="1">1</definedName>
    <definedName name="solver_est" localSheetId="1" hidden="1">1</definedName>
    <definedName name="solver_est" localSheetId="0" hidden="1">1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1" localSheetId="2" hidden="1">'11'!$F$1</definedName>
    <definedName name="solver_lhs1" localSheetId="1" hidden="1">'36'!$F$28</definedName>
    <definedName name="solver_lhs1" localSheetId="0" hidden="1">Sample!$E$1</definedName>
    <definedName name="solver_lhs2" localSheetId="2" hidden="1">'11'!$F$1</definedName>
    <definedName name="solver_lhs2" localSheetId="1" hidden="1">'36'!$F$1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2" hidden="1">1</definedName>
    <definedName name="solver_num" localSheetId="1" hidden="1">0</definedName>
    <definedName name="solver_num" localSheetId="0" hidden="1">1</definedName>
    <definedName name="solver_nwt" localSheetId="2" hidden="1">1</definedName>
    <definedName name="solver_nwt" localSheetId="1" hidden="1">1</definedName>
    <definedName name="solver_nwt" localSheetId="0" hidden="1">1</definedName>
    <definedName name="solver_opt" localSheetId="2" hidden="1">'11'!$H$25</definedName>
    <definedName name="solver_opt" localSheetId="1" hidden="1">'36'!$H$39</definedName>
    <definedName name="solver_opt" localSheetId="0" hidden="1">Sample!$H$23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el1" localSheetId="2" hidden="1">3</definedName>
    <definedName name="solver_rel1" localSheetId="1" hidden="1">3</definedName>
    <definedName name="solver_rel1" localSheetId="0" hidden="1">3</definedName>
    <definedName name="solver_rel2" localSheetId="2" hidden="1">3</definedName>
    <definedName name="solver_rel2" localSheetId="1" hidden="1">3</definedName>
    <definedName name="solver_rhs1" localSheetId="2" hidden="1">1</definedName>
    <definedName name="solver_rhs1" localSheetId="1" hidden="1">1</definedName>
    <definedName name="solver_rhs1" localSheetId="0" hidden="1">0</definedName>
    <definedName name="solver_rhs2" localSheetId="2" hidden="1">1</definedName>
    <definedName name="solver_rhs2" localSheetId="1" hidden="1">1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2" hidden="1">2</definedName>
    <definedName name="solver_typ" localSheetId="1" hidden="1">2</definedName>
    <definedName name="solver_typ" localSheetId="0" hidden="1">2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2" hidden="1">3</definedName>
    <definedName name="solver_ver" localSheetId="1" hidden="1">3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F5" i="2"/>
  <c r="E9" i="2"/>
  <c r="E8" i="2"/>
  <c r="E7" i="2"/>
  <c r="E6" i="2"/>
  <c r="E5" i="2"/>
  <c r="F7" i="2"/>
  <c r="F6" i="2"/>
  <c r="G7" i="2" l="1"/>
  <c r="G6" i="2"/>
  <c r="J5" i="4" l="1"/>
  <c r="F29" i="4"/>
  <c r="J32" i="4"/>
  <c r="E36" i="4"/>
  <c r="E35" i="4"/>
  <c r="E34" i="4"/>
  <c r="E33" i="4"/>
  <c r="E32" i="4"/>
  <c r="G32" i="4" s="1"/>
  <c r="K38" i="4"/>
  <c r="K37" i="4"/>
  <c r="K36" i="4"/>
  <c r="K35" i="4"/>
  <c r="K34" i="4"/>
  <c r="K33" i="4"/>
  <c r="K32" i="4"/>
  <c r="F2" i="4" l="1"/>
  <c r="I34" i="4" l="1"/>
  <c r="I35" i="4"/>
  <c r="I36" i="4"/>
  <c r="I37" i="4"/>
  <c r="I38" i="4"/>
  <c r="I33" i="4"/>
  <c r="J33" i="4" s="1"/>
  <c r="I32" i="4"/>
  <c r="J34" i="4"/>
  <c r="J35" i="4"/>
  <c r="J36" i="4"/>
  <c r="J37" i="4"/>
  <c r="J38" i="4"/>
  <c r="F38" i="4"/>
  <c r="F37" i="4"/>
  <c r="F36" i="4"/>
  <c r="F35" i="4"/>
  <c r="F34" i="4"/>
  <c r="F33" i="4"/>
  <c r="F32" i="4"/>
  <c r="E38" i="4"/>
  <c r="E37" i="4"/>
  <c r="G20" i="4"/>
  <c r="G36" i="4"/>
  <c r="H36" i="4" s="1"/>
  <c r="D39" i="4"/>
  <c r="C39" i="4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6" i="2"/>
  <c r="D25" i="4"/>
  <c r="C25" i="4"/>
  <c r="I24" i="4"/>
  <c r="G24" i="4"/>
  <c r="H24" i="4" s="1"/>
  <c r="F24" i="4"/>
  <c r="K24" i="4" s="1"/>
  <c r="E24" i="4"/>
  <c r="I23" i="4"/>
  <c r="F23" i="4"/>
  <c r="K23" i="4" s="1"/>
  <c r="E23" i="4"/>
  <c r="I22" i="4"/>
  <c r="F22" i="4"/>
  <c r="K22" i="4" s="1"/>
  <c r="E22" i="4"/>
  <c r="G22" i="4" s="1"/>
  <c r="H22" i="4" s="1"/>
  <c r="I21" i="4"/>
  <c r="F21" i="4"/>
  <c r="K21" i="4" s="1"/>
  <c r="E21" i="4"/>
  <c r="G21" i="4" s="1"/>
  <c r="H21" i="4" s="1"/>
  <c r="K20" i="4"/>
  <c r="I20" i="4"/>
  <c r="F20" i="4"/>
  <c r="E20" i="4"/>
  <c r="K19" i="4"/>
  <c r="I19" i="4"/>
  <c r="F19" i="4"/>
  <c r="E19" i="4"/>
  <c r="G19" i="4" s="1"/>
  <c r="H19" i="4" s="1"/>
  <c r="K18" i="4"/>
  <c r="I18" i="4"/>
  <c r="F18" i="4"/>
  <c r="E18" i="4"/>
  <c r="G18" i="4" s="1"/>
  <c r="H18" i="4" s="1"/>
  <c r="K17" i="4"/>
  <c r="I17" i="4"/>
  <c r="G17" i="4"/>
  <c r="H17" i="4" s="1"/>
  <c r="F17" i="4"/>
  <c r="E17" i="4"/>
  <c r="I16" i="4"/>
  <c r="G16" i="4"/>
  <c r="H16" i="4" s="1"/>
  <c r="F16" i="4"/>
  <c r="K16" i="4" s="1"/>
  <c r="E16" i="4"/>
  <c r="I15" i="4"/>
  <c r="F15" i="4"/>
  <c r="G15" i="4" s="1"/>
  <c r="H15" i="4" s="1"/>
  <c r="E15" i="4"/>
  <c r="I14" i="4"/>
  <c r="F14" i="4"/>
  <c r="K14" i="4" s="1"/>
  <c r="E14" i="4"/>
  <c r="G14" i="4" s="1"/>
  <c r="H14" i="4" s="1"/>
  <c r="I13" i="4"/>
  <c r="F13" i="4"/>
  <c r="K13" i="4" s="1"/>
  <c r="E13" i="4"/>
  <c r="G13" i="4" s="1"/>
  <c r="H13" i="4" s="1"/>
  <c r="K12" i="4"/>
  <c r="I12" i="4"/>
  <c r="F12" i="4"/>
  <c r="E12" i="4"/>
  <c r="G12" i="4" s="1"/>
  <c r="H12" i="4" s="1"/>
  <c r="K11" i="4"/>
  <c r="I11" i="4"/>
  <c r="F11" i="4"/>
  <c r="E11" i="4"/>
  <c r="G11" i="4" s="1"/>
  <c r="H11" i="4" s="1"/>
  <c r="K10" i="4"/>
  <c r="I10" i="4"/>
  <c r="F10" i="4"/>
  <c r="E10" i="4"/>
  <c r="G10" i="4" s="1"/>
  <c r="H10" i="4" s="1"/>
  <c r="K9" i="4"/>
  <c r="I9" i="4"/>
  <c r="G9" i="4"/>
  <c r="H9" i="4" s="1"/>
  <c r="F9" i="4"/>
  <c r="E9" i="4"/>
  <c r="I8" i="4"/>
  <c r="G8" i="4"/>
  <c r="H8" i="4" s="1"/>
  <c r="F8" i="4"/>
  <c r="K8" i="4" s="1"/>
  <c r="E8" i="4"/>
  <c r="I7" i="4"/>
  <c r="F7" i="4"/>
  <c r="G7" i="4" s="1"/>
  <c r="H7" i="4" s="1"/>
  <c r="E7" i="4"/>
  <c r="I6" i="4"/>
  <c r="F6" i="4"/>
  <c r="K6" i="4" s="1"/>
  <c r="E6" i="4"/>
  <c r="G6" i="4" s="1"/>
  <c r="H6" i="4" s="1"/>
  <c r="I5" i="4"/>
  <c r="F5" i="4"/>
  <c r="K5" i="4" s="1"/>
  <c r="E5" i="4"/>
  <c r="G5" i="4" s="1"/>
  <c r="H5" i="4" s="1"/>
  <c r="J20" i="4"/>
  <c r="G37" i="4" l="1"/>
  <c r="H37" i="4" s="1"/>
  <c r="G38" i="4"/>
  <c r="H38" i="4" s="1"/>
  <c r="H32" i="4"/>
  <c r="G34" i="4"/>
  <c r="H34" i="4" s="1"/>
  <c r="G35" i="4"/>
  <c r="H35" i="4" s="1"/>
  <c r="G33" i="4"/>
  <c r="H33" i="4" s="1"/>
  <c r="H20" i="4"/>
  <c r="J11" i="4"/>
  <c r="J18" i="4"/>
  <c r="G23" i="4"/>
  <c r="H23" i="4" s="1"/>
  <c r="J8" i="4"/>
  <c r="J16" i="4"/>
  <c r="J6" i="4"/>
  <c r="K7" i="4"/>
  <c r="J14" i="4"/>
  <c r="K15" i="4"/>
  <c r="J22" i="4"/>
  <c r="J19" i="4"/>
  <c r="J9" i="4"/>
  <c r="J17" i="4"/>
  <c r="J24" i="4"/>
  <c r="J7" i="4"/>
  <c r="J15" i="4"/>
  <c r="J23" i="4"/>
  <c r="J13" i="4"/>
  <c r="J21" i="4"/>
  <c r="J10" i="4"/>
  <c r="J12" i="4"/>
  <c r="H39" i="4" l="1"/>
  <c r="H25" i="4"/>
  <c r="I5" i="1" l="1"/>
  <c r="K5" i="1"/>
  <c r="K6" i="2"/>
  <c r="P7" i="2" s="1"/>
  <c r="K7" i="2"/>
  <c r="P8" i="2" s="1"/>
  <c r="K8" i="2"/>
  <c r="P9" i="2" s="1"/>
  <c r="K9" i="2"/>
  <c r="P10" i="2" s="1"/>
  <c r="K10" i="2"/>
  <c r="P11" i="2" s="1"/>
  <c r="K11" i="2"/>
  <c r="P12" i="2" s="1"/>
  <c r="K12" i="2"/>
  <c r="P13" i="2" s="1"/>
  <c r="K13" i="2"/>
  <c r="P14" i="2" s="1"/>
  <c r="K14" i="2"/>
  <c r="P15" i="2" s="1"/>
  <c r="K15" i="2"/>
  <c r="P16" i="2" s="1"/>
  <c r="K16" i="2"/>
  <c r="P17" i="2" s="1"/>
  <c r="K17" i="2"/>
  <c r="P18" i="2" s="1"/>
  <c r="K18" i="2"/>
  <c r="P19" i="2" s="1"/>
  <c r="K19" i="2"/>
  <c r="P20" i="2" s="1"/>
  <c r="K20" i="2"/>
  <c r="P21" i="2" s="1"/>
  <c r="K21" i="2"/>
  <c r="P22" i="2" s="1"/>
  <c r="K22" i="2"/>
  <c r="P23" i="2" s="1"/>
  <c r="K23" i="2"/>
  <c r="P24" i="2" s="1"/>
  <c r="K24" i="2"/>
  <c r="P25" i="2" s="1"/>
  <c r="K5" i="2"/>
  <c r="P6" i="2" s="1"/>
  <c r="J12" i="2"/>
  <c r="J20" i="2"/>
  <c r="I21" i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6" i="2"/>
  <c r="I5" i="2"/>
  <c r="F2" i="2"/>
  <c r="J8" i="2" s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H7" i="2"/>
  <c r="G8" i="2"/>
  <c r="H8" i="2" s="1"/>
  <c r="G9" i="2"/>
  <c r="H9" i="2" s="1"/>
  <c r="E10" i="2"/>
  <c r="G10" i="2" s="1"/>
  <c r="H10" i="2" s="1"/>
  <c r="E12" i="2"/>
  <c r="G12" i="2" s="1"/>
  <c r="H12" i="2" s="1"/>
  <c r="E13" i="2"/>
  <c r="G13" i="2" s="1"/>
  <c r="H13" i="2" s="1"/>
  <c r="E15" i="2"/>
  <c r="G15" i="2" s="1"/>
  <c r="H15" i="2" s="1"/>
  <c r="E16" i="2"/>
  <c r="G16" i="2" s="1"/>
  <c r="H16" i="2" s="1"/>
  <c r="E17" i="2"/>
  <c r="G17" i="2" s="1"/>
  <c r="H17" i="2" s="1"/>
  <c r="E18" i="2"/>
  <c r="G18" i="2" s="1"/>
  <c r="H18" i="2" s="1"/>
  <c r="E20" i="2"/>
  <c r="G20" i="2" s="1"/>
  <c r="H20" i="2" s="1"/>
  <c r="E21" i="2"/>
  <c r="G21" i="2" s="1"/>
  <c r="H21" i="2" s="1"/>
  <c r="E23" i="2"/>
  <c r="G23" i="2" s="1"/>
  <c r="H23" i="2" s="1"/>
  <c r="E24" i="2"/>
  <c r="G24" i="2" s="1"/>
  <c r="H24" i="2" s="1"/>
  <c r="H5" i="2"/>
  <c r="D25" i="2"/>
  <c r="C25" i="2"/>
  <c r="H6" i="2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5" i="1"/>
  <c r="I22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6" i="1"/>
  <c r="H5" i="1"/>
  <c r="E2" i="1"/>
  <c r="D23" i="1"/>
  <c r="G8" i="1"/>
  <c r="H8" i="1" s="1"/>
  <c r="G9" i="1"/>
  <c r="H9" i="1" s="1"/>
  <c r="G11" i="1"/>
  <c r="H11" i="1" s="1"/>
  <c r="G12" i="1"/>
  <c r="H12" i="1" s="1"/>
  <c r="G16" i="1"/>
  <c r="H16" i="1" s="1"/>
  <c r="G17" i="1"/>
  <c r="H17" i="1" s="1"/>
  <c r="G19" i="1"/>
  <c r="H19" i="1" s="1"/>
  <c r="G20" i="1"/>
  <c r="H20" i="1" s="1"/>
  <c r="F6" i="1"/>
  <c r="G6" i="1" s="1"/>
  <c r="H6" i="1" s="1"/>
  <c r="F7" i="1"/>
  <c r="G7" i="1" s="1"/>
  <c r="H7" i="1" s="1"/>
  <c r="F8" i="1"/>
  <c r="F9" i="1"/>
  <c r="F10" i="1"/>
  <c r="G10" i="1" s="1"/>
  <c r="H10" i="1" s="1"/>
  <c r="F11" i="1"/>
  <c r="F12" i="1"/>
  <c r="F13" i="1"/>
  <c r="G13" i="1" s="1"/>
  <c r="H13" i="1" s="1"/>
  <c r="F14" i="1"/>
  <c r="G14" i="1" s="1"/>
  <c r="H14" i="1" s="1"/>
  <c r="F15" i="1"/>
  <c r="G15" i="1" s="1"/>
  <c r="H15" i="1" s="1"/>
  <c r="F16" i="1"/>
  <c r="F17" i="1"/>
  <c r="F18" i="1"/>
  <c r="G18" i="1" s="1"/>
  <c r="H18" i="1" s="1"/>
  <c r="F19" i="1"/>
  <c r="F20" i="1"/>
  <c r="F21" i="1"/>
  <c r="G21" i="1" s="1"/>
  <c r="H21" i="1" s="1"/>
  <c r="F22" i="1"/>
  <c r="G22" i="1" s="1"/>
  <c r="H22" i="1" s="1"/>
  <c r="F5" i="1"/>
  <c r="G5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5" i="1"/>
  <c r="C23" i="1"/>
  <c r="J11" i="2" l="1"/>
  <c r="J23" i="2"/>
  <c r="J15" i="2"/>
  <c r="J7" i="2"/>
  <c r="J22" i="2"/>
  <c r="J14" i="2"/>
  <c r="J6" i="2"/>
  <c r="E19" i="2"/>
  <c r="G19" i="2" s="1"/>
  <c r="H19" i="2" s="1"/>
  <c r="H25" i="2" s="1"/>
  <c r="E11" i="2"/>
  <c r="G11" i="2" s="1"/>
  <c r="H11" i="2" s="1"/>
  <c r="J21" i="2"/>
  <c r="J13" i="2"/>
  <c r="J19" i="2"/>
  <c r="J18" i="2"/>
  <c r="J10" i="2"/>
  <c r="J5" i="2"/>
  <c r="J17" i="2"/>
  <c r="J9" i="2"/>
  <c r="E22" i="2"/>
  <c r="G22" i="2" s="1"/>
  <c r="H22" i="2" s="1"/>
  <c r="E14" i="2"/>
  <c r="G14" i="2" s="1"/>
  <c r="H14" i="2" s="1"/>
  <c r="J24" i="2"/>
  <c r="J16" i="2"/>
  <c r="H23" i="1"/>
</calcChain>
</file>

<file path=xl/sharedStrings.xml><?xml version="1.0" encoding="utf-8"?>
<sst xmlns="http://schemas.openxmlformats.org/spreadsheetml/2006/main" count="148" uniqueCount="62">
  <si>
    <t>k</t>
  </si>
  <si>
    <t>Rating</t>
  </si>
  <si>
    <t>CC</t>
  </si>
  <si>
    <t>CCC+</t>
  </si>
  <si>
    <t>B-</t>
  </si>
  <si>
    <t>B+</t>
  </si>
  <si>
    <t>BB-</t>
  </si>
  <si>
    <t>BB</t>
  </si>
  <si>
    <t>BB+</t>
  </si>
  <si>
    <t>BBB-</t>
  </si>
  <si>
    <t>BBB</t>
  </si>
  <si>
    <t>BBB+</t>
  </si>
  <si>
    <t>A-</t>
  </si>
  <si>
    <t>A+</t>
  </si>
  <si>
    <t>AA-</t>
  </si>
  <si>
    <t>AA+</t>
  </si>
  <si>
    <t>AAA</t>
  </si>
  <si>
    <t>Sovereign</t>
  </si>
  <si>
    <t>Default</t>
  </si>
  <si>
    <t>X</t>
  </si>
  <si>
    <t>Y</t>
  </si>
  <si>
    <t>Average default rate</t>
  </si>
  <si>
    <t>PD estimate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</si>
  <si>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</si>
  <si>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</si>
  <si>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</si>
  <si>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</si>
  <si>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</si>
  <si>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</si>
  <si>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</si>
  <si>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</si>
  <si>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</si>
  <si>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</si>
  <si>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</si>
  <si>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</si>
  <si>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</si>
  <si>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</si>
  <si>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</si>
  <si>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</si>
  <si>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</si>
  <si>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</si>
  <si>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</si>
  <si>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</si>
  <si>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Bad=1</t>
  </si>
  <si>
    <t>Grand Total</t>
  </si>
  <si>
    <t>Band</t>
  </si>
  <si>
    <t>No</t>
  </si>
  <si>
    <t xml:space="preserve">Average default </t>
  </si>
  <si>
    <t>Slope</t>
  </si>
  <si>
    <t>[g(x)]^2</t>
  </si>
  <si>
    <t>[g(x)]</t>
  </si>
  <si>
    <t>Xr</t>
  </si>
  <si>
    <t>G1</t>
  </si>
  <si>
    <t>G2</t>
  </si>
  <si>
    <t>G3</t>
  </si>
  <si>
    <t>G4</t>
  </si>
  <si>
    <t>G5</t>
  </si>
  <si>
    <t>G6</t>
  </si>
  <si>
    <t>G7</t>
  </si>
  <si>
    <t>Bad</t>
  </si>
  <si>
    <t>Total</t>
  </si>
  <si>
    <t>Average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</si>
</sst>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0" fontId="2" fillId="0" borderId="0" xfId="0" applyFont="1"/>
    <xf numFmtId="10" fontId="2" fillId="0" borderId="0" xfId="1" applyNumberFormat="1" applyFont="1"/>
    <xf numFmtId="0" fontId="3" fillId="0" borderId="0" xfId="0" applyFont="1"/>
    <xf numFmtId="165" fontId="0" fillId="0" borderId="0" xfId="1" applyNumberFormat="1" applyFont="1"/>
    <xf numFmtId="2" fontId="2" fillId="0" borderId="0" xfId="0" applyNumberFormat="1" applyFont="1"/>
    <xf numFmtId="9" fontId="2" fillId="0" borderId="0" xfId="1" applyFont="1"/>
    <xf numFmtId="10" fontId="2" fillId="0" borderId="0" xfId="0" applyNumberFormat="1" applyFont="1"/>
    <xf numFmtId="0" fontId="0" fillId="2" borderId="0" xfId="0" applyFill="1"/>
    <xf numFmtId="10" fontId="0" fillId="2" borderId="0" xfId="1" applyNumberFormat="1" applyFont="1" applyFill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Sample!$F$3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Sample!$E$4:$E$22</c:f>
              <c:numCache>
                <c:formatCode>0%</c:formatCode>
                <c:ptCount val="19"/>
                <c:pt idx="0" formatCode="General">
                  <c:v>0</c:v>
                </c:pt>
                <c:pt idx="1">
                  <c:v>1.1627906976744186E-2</c:v>
                </c:pt>
                <c:pt idx="2">
                  <c:v>2.3255813953488372E-2</c:v>
                </c:pt>
                <c:pt idx="3">
                  <c:v>8.1395348837209308E-2</c:v>
                </c:pt>
                <c:pt idx="4">
                  <c:v>0.15116279069767441</c:v>
                </c:pt>
                <c:pt idx="5">
                  <c:v>0.18604651162790697</c:v>
                </c:pt>
                <c:pt idx="6">
                  <c:v>0.23255813953488372</c:v>
                </c:pt>
                <c:pt idx="7">
                  <c:v>0.32558139534883723</c:v>
                </c:pt>
                <c:pt idx="8">
                  <c:v>0.38372093023255816</c:v>
                </c:pt>
                <c:pt idx="9">
                  <c:v>0.40697674418604651</c:v>
                </c:pt>
                <c:pt idx="10">
                  <c:v>0.46511627906976744</c:v>
                </c:pt>
                <c:pt idx="11">
                  <c:v>0.51162790697674421</c:v>
                </c:pt>
                <c:pt idx="12">
                  <c:v>0.61627906976744184</c:v>
                </c:pt>
                <c:pt idx="13">
                  <c:v>0.67441860465116277</c:v>
                </c:pt>
                <c:pt idx="14">
                  <c:v>0.7441860465116279</c:v>
                </c:pt>
                <c:pt idx="15">
                  <c:v>0.76744186046511631</c:v>
                </c:pt>
                <c:pt idx="16">
                  <c:v>0.77906976744186052</c:v>
                </c:pt>
                <c:pt idx="17">
                  <c:v>0.81395348837209303</c:v>
                </c:pt>
                <c:pt idx="18">
                  <c:v>1</c:v>
                </c:pt>
              </c:numCache>
            </c:numRef>
          </c:xVal>
          <c:yVal>
            <c:numRef>
              <c:f>Sample!$F$4:$F$22</c:f>
              <c:numCache>
                <c:formatCode>0%</c:formatCode>
                <c:ptCount val="19"/>
                <c:pt idx="0" formatCode="General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Sample!$E$4:$E$22</c:f>
              <c:numCache>
                <c:formatCode>0%</c:formatCode>
                <c:ptCount val="19"/>
                <c:pt idx="0" formatCode="General">
                  <c:v>0</c:v>
                </c:pt>
                <c:pt idx="1">
                  <c:v>1.1627906976744186E-2</c:v>
                </c:pt>
                <c:pt idx="2">
                  <c:v>2.3255813953488372E-2</c:v>
                </c:pt>
                <c:pt idx="3">
                  <c:v>8.1395348837209308E-2</c:v>
                </c:pt>
                <c:pt idx="4">
                  <c:v>0.15116279069767441</c:v>
                </c:pt>
                <c:pt idx="5">
                  <c:v>0.18604651162790697</c:v>
                </c:pt>
                <c:pt idx="6">
                  <c:v>0.23255813953488372</c:v>
                </c:pt>
                <c:pt idx="7">
                  <c:v>0.32558139534883723</c:v>
                </c:pt>
                <c:pt idx="8">
                  <c:v>0.38372093023255816</c:v>
                </c:pt>
                <c:pt idx="9">
                  <c:v>0.40697674418604651</c:v>
                </c:pt>
                <c:pt idx="10">
                  <c:v>0.46511627906976744</c:v>
                </c:pt>
                <c:pt idx="11">
                  <c:v>0.51162790697674421</c:v>
                </c:pt>
                <c:pt idx="12">
                  <c:v>0.61627906976744184</c:v>
                </c:pt>
                <c:pt idx="13">
                  <c:v>0.67441860465116277</c:v>
                </c:pt>
                <c:pt idx="14">
                  <c:v>0.7441860465116279</c:v>
                </c:pt>
                <c:pt idx="15">
                  <c:v>0.76744186046511631</c:v>
                </c:pt>
                <c:pt idx="16">
                  <c:v>0.77906976744186052</c:v>
                </c:pt>
                <c:pt idx="17">
                  <c:v>0.81395348837209303</c:v>
                </c:pt>
                <c:pt idx="18">
                  <c:v>1</c:v>
                </c:pt>
              </c:numCache>
            </c:numRef>
          </c:xVal>
          <c:yVal>
            <c:numRef>
              <c:f>Sample!$K$4:$K$22</c:f>
              <c:numCache>
                <c:formatCode>General</c:formatCode>
                <c:ptCount val="19"/>
                <c:pt idx="0">
                  <c:v>0</c:v>
                </c:pt>
                <c:pt idx="1">
                  <c:v>8.9187811578552045E-2</c:v>
                </c:pt>
                <c:pt idx="2">
                  <c:v>0.1704237437284114</c:v>
                </c:pt>
                <c:pt idx="3">
                  <c:v>0.48004198482291588</c:v>
                </c:pt>
                <c:pt idx="4">
                  <c:v>0.70322992110493099</c:v>
                </c:pt>
                <c:pt idx="5">
                  <c:v>0.77582139241918546</c:v>
                </c:pt>
                <c:pt idx="6">
                  <c:v>0.84580177913466592</c:v>
                </c:pt>
                <c:pt idx="7">
                  <c:v>0.9271210909855111</c:v>
                </c:pt>
                <c:pt idx="8">
                  <c:v>0.95443197215171327</c:v>
                </c:pt>
                <c:pt idx="9">
                  <c:v>0.96225073243726433</c:v>
                </c:pt>
                <c:pt idx="10">
                  <c:v>0.97645550669107795</c:v>
                </c:pt>
                <c:pt idx="11">
                  <c:v>0.98389597361653724</c:v>
                </c:pt>
                <c:pt idx="12">
                  <c:v>0.99323596281328019</c:v>
                </c:pt>
                <c:pt idx="13">
                  <c:v>0.99588081999333777</c:v>
                </c:pt>
                <c:pt idx="14">
                  <c:v>0.99778736210691288</c:v>
                </c:pt>
                <c:pt idx="15">
                  <c:v>0.99821973690714672</c:v>
                </c:pt>
                <c:pt idx="16">
                  <c:v>0.998407461470044</c:v>
                </c:pt>
                <c:pt idx="17">
                  <c:v>0.99887604742458902</c:v>
                </c:pt>
                <c:pt idx="18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101680"/>
        <c:axId val="1056102240"/>
      </c:scatterChart>
      <c:valAx>
        <c:axId val="10561016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02240"/>
        <c:crosses val="autoZero"/>
        <c:crossBetween val="midCat"/>
        <c:majorUnit val="0.1"/>
      </c:valAx>
      <c:valAx>
        <c:axId val="1056102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0168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'36'!$O$4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'36'!$N$5:$N$25</c:f>
              <c:numCache>
                <c:formatCode>0.00%</c:formatCode>
                <c:ptCount val="21"/>
                <c:pt idx="0" formatCode="General">
                  <c:v>0</c:v>
                </c:pt>
                <c:pt idx="1">
                  <c:v>4.7872340425531915E-2</c:v>
                </c:pt>
                <c:pt idx="2">
                  <c:v>0.10106382978723404</c:v>
                </c:pt>
                <c:pt idx="3">
                  <c:v>0.15425531914893617</c:v>
                </c:pt>
                <c:pt idx="4">
                  <c:v>0.19680851063829788</c:v>
                </c:pt>
                <c:pt idx="5">
                  <c:v>0.25</c:v>
                </c:pt>
                <c:pt idx="6">
                  <c:v>0.2978723404255319</c:v>
                </c:pt>
                <c:pt idx="7">
                  <c:v>0.35106382978723405</c:v>
                </c:pt>
                <c:pt idx="8">
                  <c:v>0.40425531914893614</c:v>
                </c:pt>
                <c:pt idx="9">
                  <c:v>0.44680851063829785</c:v>
                </c:pt>
                <c:pt idx="10">
                  <c:v>0.5</c:v>
                </c:pt>
                <c:pt idx="11">
                  <c:v>0.5478723404255319</c:v>
                </c:pt>
                <c:pt idx="12">
                  <c:v>0.5957446808510638</c:v>
                </c:pt>
                <c:pt idx="13">
                  <c:v>0.64893617021276595</c:v>
                </c:pt>
                <c:pt idx="14">
                  <c:v>0.69680851063829785</c:v>
                </c:pt>
                <c:pt idx="15">
                  <c:v>0.75</c:v>
                </c:pt>
                <c:pt idx="16">
                  <c:v>0.7978723404255319</c:v>
                </c:pt>
                <c:pt idx="17">
                  <c:v>0.8457446808510638</c:v>
                </c:pt>
                <c:pt idx="18">
                  <c:v>0.89893617021276595</c:v>
                </c:pt>
                <c:pt idx="19">
                  <c:v>0.94680851063829785</c:v>
                </c:pt>
                <c:pt idx="20">
                  <c:v>1</c:v>
                </c:pt>
              </c:numCache>
            </c:numRef>
          </c:xVal>
          <c:yVal>
            <c:numRef>
              <c:f>'36'!$O$5:$O$25</c:f>
              <c:numCache>
                <c:formatCode>0.00%</c:formatCode>
                <c:ptCount val="21"/>
                <c:pt idx="0" formatCode="General">
                  <c:v>0</c:v>
                </c:pt>
                <c:pt idx="1">
                  <c:v>0.25</c:v>
                </c:pt>
                <c:pt idx="2">
                  <c:v>0.44444444444444442</c:v>
                </c:pt>
                <c:pt idx="3">
                  <c:v>0.52777777777777779</c:v>
                </c:pt>
                <c:pt idx="4">
                  <c:v>0.61111111111111116</c:v>
                </c:pt>
                <c:pt idx="5">
                  <c:v>0.69444444444444442</c:v>
                </c:pt>
                <c:pt idx="6">
                  <c:v>0.72222222222222221</c:v>
                </c:pt>
                <c:pt idx="7">
                  <c:v>0.77777777777777779</c:v>
                </c:pt>
                <c:pt idx="8">
                  <c:v>0.83333333333333337</c:v>
                </c:pt>
                <c:pt idx="9">
                  <c:v>0.86111111111111116</c:v>
                </c:pt>
                <c:pt idx="10">
                  <c:v>0.88888888888888884</c:v>
                </c:pt>
                <c:pt idx="11">
                  <c:v>0.91666666666666663</c:v>
                </c:pt>
                <c:pt idx="12">
                  <c:v>0.91666666666666663</c:v>
                </c:pt>
                <c:pt idx="13">
                  <c:v>0.94444444444444442</c:v>
                </c:pt>
                <c:pt idx="14">
                  <c:v>0.94444444444444442</c:v>
                </c:pt>
                <c:pt idx="15">
                  <c:v>0.94444444444444442</c:v>
                </c:pt>
                <c:pt idx="16">
                  <c:v>0.97222222222222221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'36'!$P$4</c:f>
              <c:strCache>
                <c:ptCount val="1"/>
                <c:pt idx="0">
                  <c:v>Slope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'36'!$N$5:$N$25</c:f>
              <c:numCache>
                <c:formatCode>0.00%</c:formatCode>
                <c:ptCount val="21"/>
                <c:pt idx="0" formatCode="General">
                  <c:v>0</c:v>
                </c:pt>
                <c:pt idx="1">
                  <c:v>4.7872340425531915E-2</c:v>
                </c:pt>
                <c:pt idx="2">
                  <c:v>0.10106382978723404</c:v>
                </c:pt>
                <c:pt idx="3">
                  <c:v>0.15425531914893617</c:v>
                </c:pt>
                <c:pt idx="4">
                  <c:v>0.19680851063829788</c:v>
                </c:pt>
                <c:pt idx="5">
                  <c:v>0.25</c:v>
                </c:pt>
                <c:pt idx="6">
                  <c:v>0.2978723404255319</c:v>
                </c:pt>
                <c:pt idx="7">
                  <c:v>0.35106382978723405</c:v>
                </c:pt>
                <c:pt idx="8">
                  <c:v>0.40425531914893614</c:v>
                </c:pt>
                <c:pt idx="9">
                  <c:v>0.44680851063829785</c:v>
                </c:pt>
                <c:pt idx="10">
                  <c:v>0.5</c:v>
                </c:pt>
                <c:pt idx="11">
                  <c:v>0.5478723404255319</c:v>
                </c:pt>
                <c:pt idx="12">
                  <c:v>0.5957446808510638</c:v>
                </c:pt>
                <c:pt idx="13">
                  <c:v>0.64893617021276595</c:v>
                </c:pt>
                <c:pt idx="14">
                  <c:v>0.69680851063829785</c:v>
                </c:pt>
                <c:pt idx="15">
                  <c:v>0.75</c:v>
                </c:pt>
                <c:pt idx="16">
                  <c:v>0.7978723404255319</c:v>
                </c:pt>
                <c:pt idx="17">
                  <c:v>0.8457446808510638</c:v>
                </c:pt>
                <c:pt idx="18">
                  <c:v>0.89893617021276595</c:v>
                </c:pt>
                <c:pt idx="19">
                  <c:v>0.94680851063829785</c:v>
                </c:pt>
                <c:pt idx="20">
                  <c:v>1</c:v>
                </c:pt>
              </c:numCache>
            </c:numRef>
          </c:xVal>
          <c:yVal>
            <c:numRef>
              <c:f>'36'!$P$5:$P$25</c:f>
              <c:numCache>
                <c:formatCode>0.00%</c:formatCode>
                <c:ptCount val="21"/>
                <c:pt idx="0" formatCode="General">
                  <c:v>0</c:v>
                </c:pt>
                <c:pt idx="1">
                  <c:v>0.19821165800465015</c:v>
                </c:pt>
                <c:pt idx="2">
                  <c:v>0.37319708908581156</c:v>
                </c:pt>
                <c:pt idx="3">
                  <c:v>0.51048971494397288</c:v>
                </c:pt>
                <c:pt idx="4">
                  <c:v>0.59870318924741972</c:v>
                </c:pt>
                <c:pt idx="5">
                  <c:v>0.68742058539947248</c:v>
                </c:pt>
                <c:pt idx="6">
                  <c:v>0.75080203923907574</c:v>
                </c:pt>
                <c:pt idx="7">
                  <c:v>0.80675652311919921</c:v>
                </c:pt>
                <c:pt idx="8">
                  <c:v>0.85065810951399567</c:v>
                </c:pt>
                <c:pt idx="9">
                  <c:v>0.87886582598173124</c:v>
                </c:pt>
                <c:pt idx="10">
                  <c:v>0.90723467978976113</c:v>
                </c:pt>
                <c:pt idx="11">
                  <c:v>0.92750194727171487</c:v>
                </c:pt>
                <c:pt idx="12">
                  <c:v>0.94379400675073766</c:v>
                </c:pt>
                <c:pt idx="13">
                  <c:v>0.95817698038526455</c:v>
                </c:pt>
                <c:pt idx="14">
                  <c:v>0.96845245981807582</c:v>
                </c:pt>
                <c:pt idx="15">
                  <c:v>0.97752386972512539</c:v>
                </c:pt>
                <c:pt idx="16">
                  <c:v>0.98400466349524862</c:v>
                </c:pt>
                <c:pt idx="17">
                  <c:v>0.98921431880118205</c:v>
                </c:pt>
                <c:pt idx="18">
                  <c:v>0.99381351235351878</c:v>
                </c:pt>
                <c:pt idx="19">
                  <c:v>0.99709926674307781</c:v>
                </c:pt>
                <c:pt idx="2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144688"/>
        <c:axId val="1056145248"/>
      </c:scatterChart>
      <c:valAx>
        <c:axId val="10561446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45248"/>
        <c:crosses val="autoZero"/>
        <c:crossBetween val="midCat"/>
        <c:majorUnit val="0.1"/>
      </c:valAx>
      <c:valAx>
        <c:axId val="1056145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4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'36'!$O$30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'36'!$N$31:$N$38</c:f>
              <c:numCache>
                <c:formatCode>0.0%</c:formatCode>
                <c:ptCount val="8"/>
                <c:pt idx="0" formatCode="General">
                  <c:v>0</c:v>
                </c:pt>
                <c:pt idx="1">
                  <c:v>0.10106382978723404</c:v>
                </c:pt>
                <c:pt idx="2">
                  <c:v>0.25</c:v>
                </c:pt>
                <c:pt idx="3">
                  <c:v>0.40425531914893614</c:v>
                </c:pt>
                <c:pt idx="4">
                  <c:v>0.5957446808510638</c:v>
                </c:pt>
                <c:pt idx="5">
                  <c:v>0.7978723404255319</c:v>
                </c:pt>
                <c:pt idx="6">
                  <c:v>0.94680851063829785</c:v>
                </c:pt>
                <c:pt idx="7">
                  <c:v>1</c:v>
                </c:pt>
              </c:numCache>
            </c:numRef>
          </c:xVal>
          <c:yVal>
            <c:numRef>
              <c:f>'36'!$O$31:$O$38</c:f>
              <c:numCache>
                <c:formatCode>0.0%</c:formatCode>
                <c:ptCount val="8"/>
                <c:pt idx="0" formatCode="General">
                  <c:v>0</c:v>
                </c:pt>
                <c:pt idx="1">
                  <c:v>0.44444444444444442</c:v>
                </c:pt>
                <c:pt idx="2">
                  <c:v>0.69444444444444442</c:v>
                </c:pt>
                <c:pt idx="3">
                  <c:v>0.83333333333333337</c:v>
                </c:pt>
                <c:pt idx="4">
                  <c:v>0.91666666666666663</c:v>
                </c:pt>
                <c:pt idx="5">
                  <c:v>0.97222222222222221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'36'!$P$30</c:f>
              <c:strCache>
                <c:ptCount val="1"/>
                <c:pt idx="0">
                  <c:v>Slope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'36'!$N$31:$N$38</c:f>
              <c:numCache>
                <c:formatCode>0.0%</c:formatCode>
                <c:ptCount val="8"/>
                <c:pt idx="0" formatCode="General">
                  <c:v>0</c:v>
                </c:pt>
                <c:pt idx="1">
                  <c:v>0.10106382978723404</c:v>
                </c:pt>
                <c:pt idx="2">
                  <c:v>0.25</c:v>
                </c:pt>
                <c:pt idx="3">
                  <c:v>0.40425531914893614</c:v>
                </c:pt>
                <c:pt idx="4">
                  <c:v>0.5957446808510638</c:v>
                </c:pt>
                <c:pt idx="5">
                  <c:v>0.7978723404255319</c:v>
                </c:pt>
                <c:pt idx="6">
                  <c:v>0.94680851063829785</c:v>
                </c:pt>
                <c:pt idx="7">
                  <c:v>1</c:v>
                </c:pt>
              </c:numCache>
            </c:numRef>
          </c:xVal>
          <c:yVal>
            <c:numRef>
              <c:f>'36'!$P$31:$P$38</c:f>
              <c:numCache>
                <c:formatCode>0.0%</c:formatCode>
                <c:ptCount val="8"/>
                <c:pt idx="0" formatCode="General">
                  <c:v>0</c:v>
                </c:pt>
                <c:pt idx="1">
                  <c:v>0.38810461669125401</c:v>
                </c:pt>
                <c:pt idx="2">
                  <c:v>0.7052479213683388</c:v>
                </c:pt>
                <c:pt idx="3">
                  <c:v>0.86393478160049686</c:v>
                </c:pt>
                <c:pt idx="4">
                  <c:v>0.95077272799637202</c:v>
                </c:pt>
                <c:pt idx="5">
                  <c:v>0.98648868780102494</c:v>
                </c:pt>
                <c:pt idx="6">
                  <c:v>0.99760339329389791</c:v>
                </c:pt>
                <c:pt idx="7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447824"/>
        <c:axId val="1052448384"/>
      </c:scatterChart>
      <c:valAx>
        <c:axId val="10524478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48384"/>
        <c:crosses val="autoZero"/>
        <c:crossBetween val="midCat"/>
        <c:majorUnit val="0.1"/>
      </c:valAx>
      <c:valAx>
        <c:axId val="1052448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4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'11'!$O$4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'11'!$N$5:$N$25</c:f>
              <c:numCache>
                <c:formatCode>0.00%</c:formatCode>
                <c:ptCount val="21"/>
                <c:pt idx="0" formatCode="0%">
                  <c:v>0</c:v>
                </c:pt>
                <c:pt idx="1">
                  <c:v>4.7872340425531915E-2</c:v>
                </c:pt>
                <c:pt idx="2">
                  <c:v>0.10106382978723404</c:v>
                </c:pt>
                <c:pt idx="3">
                  <c:v>0.15425531914893617</c:v>
                </c:pt>
                <c:pt idx="4">
                  <c:v>0.19680851063829788</c:v>
                </c:pt>
                <c:pt idx="5">
                  <c:v>0.25</c:v>
                </c:pt>
                <c:pt idx="6">
                  <c:v>0.2978723404255319</c:v>
                </c:pt>
                <c:pt idx="7">
                  <c:v>0.35106382978723405</c:v>
                </c:pt>
                <c:pt idx="8">
                  <c:v>0.40425531914893614</c:v>
                </c:pt>
                <c:pt idx="9">
                  <c:v>0.44680851063829785</c:v>
                </c:pt>
                <c:pt idx="10">
                  <c:v>0.5</c:v>
                </c:pt>
                <c:pt idx="11">
                  <c:v>0.5478723404255319</c:v>
                </c:pt>
                <c:pt idx="12">
                  <c:v>0.5957446808510638</c:v>
                </c:pt>
                <c:pt idx="13">
                  <c:v>0.64893617021276595</c:v>
                </c:pt>
                <c:pt idx="14">
                  <c:v>0.69680851063829785</c:v>
                </c:pt>
                <c:pt idx="15">
                  <c:v>0.75</c:v>
                </c:pt>
                <c:pt idx="16">
                  <c:v>0.7978723404255319</c:v>
                </c:pt>
                <c:pt idx="17">
                  <c:v>0.8457446808510638</c:v>
                </c:pt>
                <c:pt idx="18">
                  <c:v>0.89893617021276595</c:v>
                </c:pt>
                <c:pt idx="19">
                  <c:v>0.94680851063829785</c:v>
                </c:pt>
                <c:pt idx="20">
                  <c:v>1</c:v>
                </c:pt>
              </c:numCache>
            </c:numRef>
          </c:xVal>
          <c:yVal>
            <c:numRef>
              <c:f>'11'!$O$5:$O$25</c:f>
              <c:numCache>
                <c:formatCode>0.00%</c:formatCode>
                <c:ptCount val="21"/>
                <c:pt idx="0" formatCode="0%">
                  <c:v>0</c:v>
                </c:pt>
                <c:pt idx="1">
                  <c:v>0</c:v>
                </c:pt>
                <c:pt idx="2">
                  <c:v>9.0909090909090912E-2</c:v>
                </c:pt>
                <c:pt idx="3">
                  <c:v>0.27272727272727271</c:v>
                </c:pt>
                <c:pt idx="4">
                  <c:v>0.45454545454545453</c:v>
                </c:pt>
                <c:pt idx="5">
                  <c:v>0.45454545454545453</c:v>
                </c:pt>
                <c:pt idx="6">
                  <c:v>0.45454545454545453</c:v>
                </c:pt>
                <c:pt idx="7">
                  <c:v>0.45454545454545453</c:v>
                </c:pt>
                <c:pt idx="8">
                  <c:v>0.45454545454545453</c:v>
                </c:pt>
                <c:pt idx="9">
                  <c:v>0.63636363636363635</c:v>
                </c:pt>
                <c:pt idx="10">
                  <c:v>0.63636363636363635</c:v>
                </c:pt>
                <c:pt idx="11">
                  <c:v>0.81818181818181823</c:v>
                </c:pt>
                <c:pt idx="12">
                  <c:v>0.81818181818181823</c:v>
                </c:pt>
                <c:pt idx="13">
                  <c:v>0.90909090909090906</c:v>
                </c:pt>
                <c:pt idx="14">
                  <c:v>0.90909090909090906</c:v>
                </c:pt>
                <c:pt idx="15">
                  <c:v>0.90909090909090906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'11'!$P$4</c:f>
              <c:strCache>
                <c:ptCount val="1"/>
                <c:pt idx="0">
                  <c:v>Slope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'11'!$N$5:$N$25</c:f>
              <c:numCache>
                <c:formatCode>0.00%</c:formatCode>
                <c:ptCount val="21"/>
                <c:pt idx="0" formatCode="0%">
                  <c:v>0</c:v>
                </c:pt>
                <c:pt idx="1">
                  <c:v>4.7872340425531915E-2</c:v>
                </c:pt>
                <c:pt idx="2">
                  <c:v>0.10106382978723404</c:v>
                </c:pt>
                <c:pt idx="3">
                  <c:v>0.15425531914893617</c:v>
                </c:pt>
                <c:pt idx="4">
                  <c:v>0.19680851063829788</c:v>
                </c:pt>
                <c:pt idx="5">
                  <c:v>0.25</c:v>
                </c:pt>
                <c:pt idx="6">
                  <c:v>0.2978723404255319</c:v>
                </c:pt>
                <c:pt idx="7">
                  <c:v>0.35106382978723405</c:v>
                </c:pt>
                <c:pt idx="8">
                  <c:v>0.40425531914893614</c:v>
                </c:pt>
                <c:pt idx="9">
                  <c:v>0.44680851063829785</c:v>
                </c:pt>
                <c:pt idx="10">
                  <c:v>0.5</c:v>
                </c:pt>
                <c:pt idx="11">
                  <c:v>0.5478723404255319</c:v>
                </c:pt>
                <c:pt idx="12">
                  <c:v>0.5957446808510638</c:v>
                </c:pt>
                <c:pt idx="13">
                  <c:v>0.64893617021276595</c:v>
                </c:pt>
                <c:pt idx="14">
                  <c:v>0.69680851063829785</c:v>
                </c:pt>
                <c:pt idx="15">
                  <c:v>0.75</c:v>
                </c:pt>
                <c:pt idx="16">
                  <c:v>0.7978723404255319</c:v>
                </c:pt>
                <c:pt idx="17">
                  <c:v>0.8457446808510638</c:v>
                </c:pt>
                <c:pt idx="18">
                  <c:v>0.89893617021276595</c:v>
                </c:pt>
                <c:pt idx="19">
                  <c:v>0.94680851063829785</c:v>
                </c:pt>
                <c:pt idx="20">
                  <c:v>1</c:v>
                </c:pt>
              </c:numCache>
            </c:numRef>
          </c:xVal>
          <c:yVal>
            <c:numRef>
              <c:f>'11'!$P$5:$P$25</c:f>
              <c:numCache>
                <c:formatCode>0.00%</c:formatCode>
                <c:ptCount val="21"/>
                <c:pt idx="0" formatCode="0%">
                  <c:v>0</c:v>
                </c:pt>
                <c:pt idx="1">
                  <c:v>9.4623804596296907E-2</c:v>
                </c:pt>
                <c:pt idx="2">
                  <c:v>0.19126339759325389</c:v>
                </c:pt>
                <c:pt idx="3">
                  <c:v>0.27969292432674286</c:v>
                </c:pt>
                <c:pt idx="4">
                  <c:v>0.34499604445128473</c:v>
                </c:pt>
                <c:pt idx="5">
                  <c:v>0.42036513520381363</c:v>
                </c:pt>
                <c:pt idx="6">
                  <c:v>0.4827068560197697</c:v>
                </c:pt>
                <c:pt idx="7">
                  <c:v>0.54637665403822411</c:v>
                </c:pt>
                <c:pt idx="8">
                  <c:v>0.60463735166105059</c:v>
                </c:pt>
                <c:pt idx="9">
                  <c:v>0.64766150293655689</c:v>
                </c:pt>
                <c:pt idx="10">
                  <c:v>0.69731749419470701</c:v>
                </c:pt>
                <c:pt idx="11">
                  <c:v>0.73839056424167815</c:v>
                </c:pt>
                <c:pt idx="12">
                  <c:v>0.77630941388040986</c:v>
                </c:pt>
                <c:pt idx="13">
                  <c:v>0.81503605578234906</c:v>
                </c:pt>
                <c:pt idx="14">
                  <c:v>0.84706888878437359</c:v>
                </c:pt>
                <c:pt idx="15">
                  <c:v>0.87978412314915511</c:v>
                </c:pt>
                <c:pt idx="16">
                  <c:v>0.90684460625746888</c:v>
                </c:pt>
                <c:pt idx="17">
                  <c:v>0.93182697034571804</c:v>
                </c:pt>
                <c:pt idx="18">
                  <c:v>0.9573415383541648</c:v>
                </c:pt>
                <c:pt idx="19">
                  <c:v>0.97844597333726746</c:v>
                </c:pt>
                <c:pt idx="2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537952"/>
        <c:axId val="1052538512"/>
      </c:scatterChart>
      <c:valAx>
        <c:axId val="10525379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38512"/>
        <c:crosses val="autoZero"/>
        <c:crossBetween val="midCat"/>
        <c:majorUnit val="0.1"/>
      </c:valAx>
      <c:valAx>
        <c:axId val="10525385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3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593482</xdr:colOff>
      <xdr:row>0</xdr:row>
      <xdr:rowOff>43962</xdr:rowOff>
    </xdr:from>
    <xdr:to>
      <xdr:col>17</xdr:col>
      <xdr:colOff>476250</xdr:colOff>
      <xdr:row>20</xdr:row>
      <xdr:rowOff>16118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2</xdr:row>
      <xdr:rowOff>190499</xdr:rowOff>
    </xdr:from>
    <xdr:to>
      <xdr:col>23</xdr:col>
      <xdr:colOff>457200</xdr:colOff>
      <xdr:row>24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313764</xdr:colOff>
      <xdr:row>26</xdr:row>
      <xdr:rowOff>29134</xdr:rowOff>
    </xdr:from>
    <xdr:to>
      <xdr:col>23</xdr:col>
      <xdr:colOff>481853</xdr:colOff>
      <xdr:row>41</xdr:row>
      <xdr:rowOff>168087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2</xdr:row>
      <xdr:rowOff>190499</xdr:rowOff>
    </xdr:from>
    <xdr:to>
      <xdr:col>23</xdr:col>
      <xdr:colOff>457200</xdr:colOff>
      <xdr:row>24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11205</xdr:colOff>
      <xdr:row>3</xdr:row>
      <xdr:rowOff>123265</xdr:rowOff>
    </xdr:from>
    <xdr:to>
      <xdr:col>23</xdr:col>
      <xdr:colOff>280148</xdr:colOff>
      <xdr:row>21</xdr:row>
      <xdr:rowOff>156882</xdr:rowOff>
    </xdr:to>
    <xdr:cxnSp macro="">
      <xdr:nvCxnSpPr>
        <xdr:cNvPr id="4" name="Straight Connector 3"/>
        <xdr:cNvCxnSpPr/>
      </xdr:nvCxnSpPr>
      <xdr:spPr>
        <a:xfrm flipV="1">
          <a:off x="11004176" y="694765"/>
          <a:ext cx="3899648" cy="34626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56030</xdr:colOff>
      <xdr:row>26</xdr:row>
      <xdr:rowOff>11206</xdr:rowOff>
    </xdr:from>
    <xdr:to>
      <xdr:col>10</xdr:col>
      <xdr:colOff>356123</xdr:colOff>
      <xdr:row>29</xdr:row>
      <xdr:rowOff>106373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6412" y="4964206"/>
          <a:ext cx="1790476" cy="6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145676</xdr:colOff>
      <xdr:row>25</xdr:row>
      <xdr:rowOff>134470</xdr:rowOff>
    </xdr:from>
    <xdr:to>
      <xdr:col>16</xdr:col>
      <xdr:colOff>224850</xdr:colOff>
      <xdr:row>30</xdr:row>
      <xdr:rowOff>58160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54470" y="4896970"/>
          <a:ext cx="3104762" cy="8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7"/>
  <sheetViews>
    <sheetView zoomScale="115" zoomScaleNormal="115" workbookViewId="0">
      <selection activeCell="C30" sqref="C30"/>
    </sheetView>
  </sheetViews>
  <sheetFormatPr defaultRowHeight="12" x14ac:dyDescent="0.2"/>
  <cols>
    <col min="1" max="3" width="9.140625" style="4"/>
    <col min="4" max="4" width="16.5703125" style="4" bestFit="1" customWidth="1"/>
    <col min="5" max="6" width="9.140625" style="4"/>
    <col min="7" max="7" width="10" style="4" bestFit="1" customWidth="1"/>
    <col min="8" max="8" width="9.7109375" style="4" bestFit="1" customWidth="1"/>
    <col min="9" max="9" width="6" style="4" bestFit="1" customWidth="1"/>
    <col min="10" max="10" width="10.7109375" style="4" bestFit="1" customWidth="1"/>
    <col min="11" max="16384" width="9.140625" style="4"/>
  </cols>
  <sheetData>
    <row r="1" spans="2:11" x14ac:dyDescent="0.2">
      <c r="D1" s="4" t="s">
        <v>0</v>
      </c>
      <c r="E1" s="8">
        <v>8.0312583762872372</v>
      </c>
    </row>
    <row r="2" spans="2:11" x14ac:dyDescent="0.2">
      <c r="D2" s="4" t="s">
        <v>21</v>
      </c>
      <c r="E2" s="5">
        <f>D23/C23</f>
        <v>2.3255813953488372E-2</v>
      </c>
    </row>
    <row r="3" spans="2:11" x14ac:dyDescent="0.2">
      <c r="B3" s="4" t="s">
        <v>1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50</v>
      </c>
      <c r="H3" s="4" t="s">
        <v>49</v>
      </c>
      <c r="I3" s="4" t="s">
        <v>51</v>
      </c>
      <c r="J3" s="4" t="s">
        <v>22</v>
      </c>
      <c r="K3" s="4" t="s">
        <v>48</v>
      </c>
    </row>
    <row r="4" spans="2:11" x14ac:dyDescent="0.2">
      <c r="E4" s="4">
        <v>0</v>
      </c>
      <c r="F4" s="4">
        <v>0</v>
      </c>
      <c r="J4" s="4">
        <v>0</v>
      </c>
      <c r="K4" s="4">
        <v>0</v>
      </c>
    </row>
    <row r="5" spans="2:11" x14ac:dyDescent="0.2">
      <c r="B5" s="4" t="s">
        <v>2</v>
      </c>
      <c r="C5" s="4">
        <v>1</v>
      </c>
      <c r="D5" s="4">
        <v>1</v>
      </c>
      <c r="E5" s="9">
        <f>SUM($C$5:C5)/$C$23</f>
        <v>1.1627906976744186E-2</v>
      </c>
      <c r="F5" s="9">
        <f>SUM($D$5:D5)/$D$23</f>
        <v>0.5</v>
      </c>
      <c r="G5" s="5">
        <f>F5-(1-EXP(-$E$1*E5))/(1-EXP(-$E$1))</f>
        <v>0.41081218842144795</v>
      </c>
      <c r="H5" s="5">
        <f>G5^2</f>
        <v>0.16876665415561926</v>
      </c>
      <c r="I5" s="5">
        <f>C5/2/$C$23</f>
        <v>5.8139534883720929E-3</v>
      </c>
      <c r="J5" s="5">
        <f>$E$1*$E$2*EXP(-$E$1*I5)/(1-EXP(-$E$1))</f>
        <v>0.17831082180060093</v>
      </c>
      <c r="K5" s="4">
        <f>(1-EXP(-$E$1*E5))/(1-EXP(-$E$1))</f>
        <v>8.9187811578552045E-2</v>
      </c>
    </row>
    <row r="6" spans="2:11" x14ac:dyDescent="0.2">
      <c r="B6" s="4" t="s">
        <v>3</v>
      </c>
      <c r="C6" s="4">
        <v>1</v>
      </c>
      <c r="D6" s="4">
        <v>0</v>
      </c>
      <c r="E6" s="9">
        <f>SUM($C$5:C6)/$C$23</f>
        <v>2.3255813953488372E-2</v>
      </c>
      <c r="F6" s="9">
        <f>SUM($D$5:D6)/$D$23</f>
        <v>0.5</v>
      </c>
      <c r="G6" s="5">
        <f t="shared" ref="G6:G22" si="0">F6-(1-EXP(-$E$1*E6))/(1-EXP(-$E$1))</f>
        <v>0.3295762562715886</v>
      </c>
      <c r="H6" s="5">
        <f t="shared" ref="H6:H22" si="1">G6^2</f>
        <v>0.10862050869799585</v>
      </c>
      <c r="I6" s="9">
        <f>(SUM($C$5:C5)+C6/2)/$C$23</f>
        <v>1.7441860465116279E-2</v>
      </c>
      <c r="J6" s="5">
        <f t="shared" ref="J6:J22" si="2">$E$1*$E$2*EXP(-$E$1*I6)/(1-EXP(-$E$1))</f>
        <v>0.16241284055525254</v>
      </c>
      <c r="K6" s="4">
        <f t="shared" ref="K6:K22" si="3">(1-EXP(-$E$1*E6))/(1-EXP(-$E$1))</f>
        <v>0.1704237437284114</v>
      </c>
    </row>
    <row r="7" spans="2:11" x14ac:dyDescent="0.2">
      <c r="B7" s="4" t="s">
        <v>4</v>
      </c>
      <c r="C7" s="4">
        <v>5</v>
      </c>
      <c r="D7" s="4">
        <v>0</v>
      </c>
      <c r="E7" s="9">
        <f>SUM($C$5:C7)/$C$23</f>
        <v>8.1395348837209308E-2</v>
      </c>
      <c r="F7" s="9">
        <f>SUM($D$5:D7)/$D$23</f>
        <v>0.5</v>
      </c>
      <c r="G7" s="5">
        <f t="shared" si="0"/>
        <v>1.9958015177084121E-2</v>
      </c>
      <c r="H7" s="5">
        <f t="shared" si="1"/>
        <v>3.983223698087201E-4</v>
      </c>
      <c r="I7" s="9">
        <f>(SUM($C$5:C6)+C7/2)/$C$23</f>
        <v>5.232558139534884E-2</v>
      </c>
      <c r="J7" s="5">
        <f t="shared" si="2"/>
        <v>0.12272932443874084</v>
      </c>
      <c r="K7" s="4">
        <f t="shared" si="3"/>
        <v>0.48004198482291588</v>
      </c>
    </row>
    <row r="8" spans="2:11" x14ac:dyDescent="0.2">
      <c r="B8" s="4" t="s">
        <v>4</v>
      </c>
      <c r="C8" s="4">
        <v>6</v>
      </c>
      <c r="D8" s="4">
        <v>0</v>
      </c>
      <c r="E8" s="9">
        <f>SUM($C$5:C8)/$C$23</f>
        <v>0.15116279069767441</v>
      </c>
      <c r="F8" s="9">
        <f>SUM($D$5:D8)/$D$23</f>
        <v>0.5</v>
      </c>
      <c r="G8" s="5">
        <f t="shared" si="0"/>
        <v>-0.20322992110493099</v>
      </c>
      <c r="H8" s="5">
        <f t="shared" si="1"/>
        <v>4.1302400832316476E-2</v>
      </c>
      <c r="I8" s="9">
        <f>(SUM($C$5:C7)+C8/2)/$C$23</f>
        <v>0.11627906976744186</v>
      </c>
      <c r="J8" s="5">
        <f t="shared" si="2"/>
        <v>7.3431597523645906E-2</v>
      </c>
      <c r="K8" s="4">
        <f t="shared" si="3"/>
        <v>0.70322992110493099</v>
      </c>
    </row>
    <row r="9" spans="2:11" x14ac:dyDescent="0.2">
      <c r="B9" s="4" t="s">
        <v>5</v>
      </c>
      <c r="C9" s="4">
        <v>3</v>
      </c>
      <c r="D9" s="4">
        <v>0</v>
      </c>
      <c r="E9" s="9">
        <f>SUM($C$5:C9)/$C$23</f>
        <v>0.18604651162790697</v>
      </c>
      <c r="F9" s="9">
        <f>SUM($D$5:D9)/$D$23</f>
        <v>0.5</v>
      </c>
      <c r="G9" s="5">
        <f t="shared" si="0"/>
        <v>-0.27582139241918546</v>
      </c>
      <c r="H9" s="5">
        <f t="shared" si="1"/>
        <v>7.6077440516058303E-2</v>
      </c>
      <c r="I9" s="9">
        <f>(SUM($C$5:C8)+C9/2)/$C$23</f>
        <v>0.16860465116279069</v>
      </c>
      <c r="J9" s="5">
        <f t="shared" si="2"/>
        <v>4.8236406768444096E-2</v>
      </c>
      <c r="K9" s="4">
        <f t="shared" si="3"/>
        <v>0.77582139241918546</v>
      </c>
    </row>
    <row r="10" spans="2:11" x14ac:dyDescent="0.2">
      <c r="B10" s="4" t="s">
        <v>6</v>
      </c>
      <c r="C10" s="4">
        <v>4</v>
      </c>
      <c r="D10" s="4">
        <v>1</v>
      </c>
      <c r="E10" s="9">
        <f>SUM($C$5:C10)/$C$23</f>
        <v>0.23255813953488372</v>
      </c>
      <c r="F10" s="9">
        <f>SUM($D$5:D10)/$D$23</f>
        <v>1</v>
      </c>
      <c r="G10" s="5">
        <f t="shared" si="0"/>
        <v>0.15419822086533408</v>
      </c>
      <c r="H10" s="5">
        <f t="shared" si="1"/>
        <v>2.3777091318034349E-2</v>
      </c>
      <c r="I10" s="9">
        <f>(SUM($C$5:C9)+C10/2)/$C$23</f>
        <v>0.20930232558139536</v>
      </c>
      <c r="J10" s="5">
        <f t="shared" si="2"/>
        <v>3.4787583408866708E-2</v>
      </c>
      <c r="K10" s="4">
        <f t="shared" si="3"/>
        <v>0.84580177913466592</v>
      </c>
    </row>
    <row r="11" spans="2:11" x14ac:dyDescent="0.2">
      <c r="B11" s="4" t="s">
        <v>7</v>
      </c>
      <c r="C11" s="4">
        <v>8</v>
      </c>
      <c r="D11" s="4">
        <v>0</v>
      </c>
      <c r="E11" s="9">
        <f>SUM($C$5:C11)/$C$23</f>
        <v>0.32558139534883723</v>
      </c>
      <c r="F11" s="9">
        <f>SUM($D$5:D11)/$D$23</f>
        <v>1</v>
      </c>
      <c r="G11" s="5">
        <f t="shared" si="0"/>
        <v>7.2878909014488902E-2</v>
      </c>
      <c r="H11" s="5">
        <f t="shared" si="1"/>
        <v>5.3113353791421521E-3</v>
      </c>
      <c r="I11" s="9">
        <f>(SUM($C$5:C10)+C11/2)/$C$23</f>
        <v>0.27906976744186046</v>
      </c>
      <c r="J11" s="5">
        <f t="shared" si="2"/>
        <v>1.9864618266233123E-2</v>
      </c>
      <c r="K11" s="4">
        <f t="shared" si="3"/>
        <v>0.9271210909855111</v>
      </c>
    </row>
    <row r="12" spans="2:11" x14ac:dyDescent="0.2">
      <c r="B12" s="4" t="s">
        <v>8</v>
      </c>
      <c r="C12" s="4">
        <v>5</v>
      </c>
      <c r="D12" s="4">
        <v>0</v>
      </c>
      <c r="E12" s="9">
        <f>SUM($C$5:C12)/$C$23</f>
        <v>0.38372093023255816</v>
      </c>
      <c r="F12" s="9">
        <f>SUM($D$5:D12)/$D$23</f>
        <v>1</v>
      </c>
      <c r="G12" s="5">
        <f t="shared" si="0"/>
        <v>4.556802784828673E-2</v>
      </c>
      <c r="H12" s="5">
        <f t="shared" si="1"/>
        <v>2.076445161982235E-3</v>
      </c>
      <c r="I12" s="9">
        <f>(SUM($C$5:C11)+C12/2)/$C$23</f>
        <v>0.35465116279069769</v>
      </c>
      <c r="J12" s="5">
        <f t="shared" si="2"/>
        <v>1.0825738120292598E-2</v>
      </c>
      <c r="K12" s="4">
        <f t="shared" si="3"/>
        <v>0.95443197215171327</v>
      </c>
    </row>
    <row r="13" spans="2:11" x14ac:dyDescent="0.2">
      <c r="B13" s="4" t="s">
        <v>9</v>
      </c>
      <c r="C13" s="4">
        <v>2</v>
      </c>
      <c r="D13" s="4">
        <v>0</v>
      </c>
      <c r="E13" s="9">
        <f>SUM($C$5:C13)/$C$23</f>
        <v>0.40697674418604651</v>
      </c>
      <c r="F13" s="9">
        <f>SUM($D$5:D13)/$D$23</f>
        <v>1</v>
      </c>
      <c r="G13" s="5">
        <f t="shared" si="0"/>
        <v>3.7749267562735667E-2</v>
      </c>
      <c r="H13" s="5">
        <f t="shared" si="1"/>
        <v>1.4250072015230071E-3</v>
      </c>
      <c r="I13" s="9">
        <f>(SUM($C$5:C12)+C13/2)/$C$23</f>
        <v>0.39534883720930231</v>
      </c>
      <c r="J13" s="5">
        <f t="shared" si="2"/>
        <v>7.8074071650916692E-3</v>
      </c>
      <c r="K13" s="4">
        <f t="shared" si="3"/>
        <v>0.96225073243726433</v>
      </c>
    </row>
    <row r="14" spans="2:11" x14ac:dyDescent="0.2">
      <c r="B14" s="4" t="s">
        <v>10</v>
      </c>
      <c r="C14" s="4">
        <v>5</v>
      </c>
      <c r="D14" s="4">
        <v>0</v>
      </c>
      <c r="E14" s="9">
        <f>SUM($C$5:C14)/$C$23</f>
        <v>0.46511627906976744</v>
      </c>
      <c r="F14" s="9">
        <f>SUM($D$5:D14)/$D$23</f>
        <v>1</v>
      </c>
      <c r="G14" s="5">
        <f t="shared" si="0"/>
        <v>2.3544493308922054E-2</v>
      </c>
      <c r="H14" s="5">
        <f t="shared" si="1"/>
        <v>5.5434316517387534E-4</v>
      </c>
      <c r="I14" s="9">
        <f>(SUM($C$5:C13)+C14/2)/$C$23</f>
        <v>0.43604651162790697</v>
      </c>
      <c r="J14" s="5">
        <f t="shared" si="2"/>
        <v>5.6306189900589641E-3</v>
      </c>
      <c r="K14" s="4">
        <f t="shared" si="3"/>
        <v>0.97645550669107795</v>
      </c>
    </row>
    <row r="15" spans="2:11" x14ac:dyDescent="0.2">
      <c r="B15" s="4" t="s">
        <v>11</v>
      </c>
      <c r="C15" s="4">
        <v>4</v>
      </c>
      <c r="D15" s="4">
        <v>0</v>
      </c>
      <c r="E15" s="9">
        <f>SUM($C$5:C15)/$C$23</f>
        <v>0.51162790697674421</v>
      </c>
      <c r="F15" s="9">
        <f>SUM($D$5:D15)/$D$23</f>
        <v>1</v>
      </c>
      <c r="G15" s="5">
        <f t="shared" si="0"/>
        <v>1.6104026383462755E-2</v>
      </c>
      <c r="H15" s="5">
        <f t="shared" si="1"/>
        <v>2.5933966575926448E-4</v>
      </c>
      <c r="I15" s="9">
        <f>(SUM($C$5:C14)+C15/2)/$C$23</f>
        <v>0.48837209302325579</v>
      </c>
      <c r="J15" s="5">
        <f t="shared" si="2"/>
        <v>3.6986915322814698E-3</v>
      </c>
      <c r="K15" s="4">
        <f t="shared" si="3"/>
        <v>0.98389597361653724</v>
      </c>
    </row>
    <row r="16" spans="2:11" x14ac:dyDescent="0.2">
      <c r="B16" s="4" t="s">
        <v>12</v>
      </c>
      <c r="C16" s="4">
        <v>9</v>
      </c>
      <c r="D16" s="4">
        <v>0</v>
      </c>
      <c r="E16" s="9">
        <f>SUM($C$5:C16)/$C$23</f>
        <v>0.61627906976744184</v>
      </c>
      <c r="F16" s="9">
        <f>SUM($D$5:D16)/$D$23</f>
        <v>1</v>
      </c>
      <c r="G16" s="5">
        <f t="shared" si="0"/>
        <v>6.7640371867198068E-3</v>
      </c>
      <c r="H16" s="5">
        <f t="shared" si="1"/>
        <v>4.5752199063328401E-5</v>
      </c>
      <c r="I16" s="9">
        <f>(SUM($C$5:C15)+C16/2)/$C$23</f>
        <v>0.56395348837209303</v>
      </c>
      <c r="J16" s="5">
        <f t="shared" si="2"/>
        <v>2.0156977284726766E-3</v>
      </c>
      <c r="K16" s="4">
        <f t="shared" si="3"/>
        <v>0.99323596281328019</v>
      </c>
    </row>
    <row r="17" spans="2:11" x14ac:dyDescent="0.2">
      <c r="B17" s="4" t="s">
        <v>12</v>
      </c>
      <c r="C17" s="4">
        <v>5</v>
      </c>
      <c r="D17" s="4">
        <v>0</v>
      </c>
      <c r="E17" s="9">
        <f>SUM($C$5:C17)/$C$23</f>
        <v>0.67441860465116277</v>
      </c>
      <c r="F17" s="9">
        <f>SUM($D$5:D17)/$D$23</f>
        <v>1</v>
      </c>
      <c r="G17" s="5">
        <f t="shared" si="0"/>
        <v>4.1191800066622264E-3</v>
      </c>
      <c r="H17" s="5">
        <f t="shared" si="1"/>
        <v>1.696764392728582E-5</v>
      </c>
      <c r="I17" s="9">
        <f>(SUM($C$5:C16)+C17/2)/$C$23</f>
        <v>0.64534883720930236</v>
      </c>
      <c r="J17" s="5">
        <f t="shared" si="2"/>
        <v>1.0483928007534525E-3</v>
      </c>
      <c r="K17" s="4">
        <f t="shared" si="3"/>
        <v>0.99588081999333777</v>
      </c>
    </row>
    <row r="18" spans="2:11" x14ac:dyDescent="0.2">
      <c r="B18" s="4" t="s">
        <v>13</v>
      </c>
      <c r="C18" s="4">
        <v>6</v>
      </c>
      <c r="D18" s="4">
        <v>0</v>
      </c>
      <c r="E18" s="9">
        <f>SUM($C$5:C18)/$C$23</f>
        <v>0.7441860465116279</v>
      </c>
      <c r="F18" s="9">
        <f>SUM($D$5:D18)/$D$23</f>
        <v>1</v>
      </c>
      <c r="G18" s="5">
        <f t="shared" si="0"/>
        <v>2.2126378930871216E-3</v>
      </c>
      <c r="H18" s="5">
        <f t="shared" si="1"/>
        <v>4.8957664459250167E-6</v>
      </c>
      <c r="I18" s="9">
        <f>(SUM($C$5:C17)+C18/2)/$C$23</f>
        <v>0.70930232558139539</v>
      </c>
      <c r="J18" s="5">
        <f t="shared" si="2"/>
        <v>6.2727598757411748E-4</v>
      </c>
      <c r="K18" s="4">
        <f t="shared" si="3"/>
        <v>0.99778736210691288</v>
      </c>
    </row>
    <row r="19" spans="2:11" x14ac:dyDescent="0.2">
      <c r="B19" s="4" t="s">
        <v>14</v>
      </c>
      <c r="C19" s="4">
        <v>2</v>
      </c>
      <c r="D19" s="4">
        <v>0</v>
      </c>
      <c r="E19" s="9">
        <f>SUM($C$5:C19)/$C$23</f>
        <v>0.76744186046511631</v>
      </c>
      <c r="F19" s="9">
        <f>SUM($D$5:D19)/$D$23</f>
        <v>1</v>
      </c>
      <c r="G19" s="5">
        <f t="shared" si="0"/>
        <v>1.7802630928532848E-3</v>
      </c>
      <c r="H19" s="5">
        <f t="shared" si="1"/>
        <v>3.1693366797755434E-6</v>
      </c>
      <c r="I19" s="9">
        <f>(SUM($C$5:C18)+C19/2)/$C$23</f>
        <v>0.7558139534883721</v>
      </c>
      <c r="J19" s="5">
        <f t="shared" si="2"/>
        <v>4.3174697651108027E-4</v>
      </c>
      <c r="K19" s="4">
        <f t="shared" si="3"/>
        <v>0.99821973690714672</v>
      </c>
    </row>
    <row r="20" spans="2:11" x14ac:dyDescent="0.2">
      <c r="B20" s="4" t="s">
        <v>14</v>
      </c>
      <c r="C20" s="4">
        <v>1</v>
      </c>
      <c r="D20" s="4">
        <v>0</v>
      </c>
      <c r="E20" s="9">
        <f>SUM($C$5:C20)/$C$23</f>
        <v>0.77906976744186052</v>
      </c>
      <c r="F20" s="9">
        <f>SUM($D$5:D20)/$D$23</f>
        <v>1</v>
      </c>
      <c r="G20" s="5">
        <f t="shared" si="0"/>
        <v>1.5925385299560002E-3</v>
      </c>
      <c r="H20" s="5">
        <f t="shared" si="1"/>
        <v>2.5361789693944181E-6</v>
      </c>
      <c r="I20" s="9">
        <f>(SUM($C$5:C19)+C20/2)/$C$23</f>
        <v>0.77325581395348841</v>
      </c>
      <c r="J20" s="5">
        <f t="shared" si="2"/>
        <v>3.7531273040439055E-4</v>
      </c>
      <c r="K20" s="4">
        <f t="shared" si="3"/>
        <v>0.998407461470044</v>
      </c>
    </row>
    <row r="21" spans="2:11" x14ac:dyDescent="0.2">
      <c r="B21" s="4" t="s">
        <v>15</v>
      </c>
      <c r="C21" s="4">
        <v>3</v>
      </c>
      <c r="D21" s="4">
        <v>0</v>
      </c>
      <c r="E21" s="9">
        <f>SUM($C$5:C21)/$C$23</f>
        <v>0.81395348837209303</v>
      </c>
      <c r="F21" s="9">
        <f>SUM($D$5:D21)/$D$23</f>
        <v>1</v>
      </c>
      <c r="G21" s="5">
        <f t="shared" si="0"/>
        <v>1.1239525754109803E-3</v>
      </c>
      <c r="H21" s="5">
        <f t="shared" si="1"/>
        <v>1.2632693917729752E-6</v>
      </c>
      <c r="I21" s="9">
        <f>(SUM($C$5:C20)+C21/2)/$C$23</f>
        <v>0.79651162790697672</v>
      </c>
      <c r="J21" s="5">
        <f t="shared" si="2"/>
        <v>3.1137132641336851E-4</v>
      </c>
      <c r="K21" s="4">
        <f t="shared" si="3"/>
        <v>0.99887604742458902</v>
      </c>
    </row>
    <row r="22" spans="2:11" x14ac:dyDescent="0.2">
      <c r="B22" s="4" t="s">
        <v>16</v>
      </c>
      <c r="C22" s="4">
        <v>16</v>
      </c>
      <c r="D22" s="4">
        <v>0</v>
      </c>
      <c r="E22" s="9">
        <f>SUM($C$5:C22)/$C$23</f>
        <v>1</v>
      </c>
      <c r="F22" s="9">
        <f>SUM($D$5:D22)/$D$23</f>
        <v>1</v>
      </c>
      <c r="G22" s="5">
        <f t="shared" si="0"/>
        <v>0</v>
      </c>
      <c r="H22" s="5">
        <f t="shared" si="1"/>
        <v>0</v>
      </c>
      <c r="I22" s="9">
        <f>(SUM($C$5:C21)+C22/2)/$C$23</f>
        <v>0.90697674418604646</v>
      </c>
      <c r="J22" s="5">
        <f t="shared" si="2"/>
        <v>1.2822830207781145E-4</v>
      </c>
      <c r="K22" s="4">
        <f t="shared" si="3"/>
        <v>1</v>
      </c>
    </row>
    <row r="23" spans="2:11" x14ac:dyDescent="0.2">
      <c r="C23" s="4">
        <f>SUM(C5:C22)</f>
        <v>86</v>
      </c>
      <c r="D23" s="4">
        <f>SUM(D5:D22)</f>
        <v>2</v>
      </c>
      <c r="H23" s="10">
        <f>SUM(H5:H22)</f>
        <v>0.42864347285789089</v>
      </c>
      <c r="I23" s="9"/>
    </row>
    <row r="30" spans="2:11" x14ac:dyDescent="0.2">
      <c r="H30" s="9"/>
      <c r="I30" s="9"/>
      <c r="J30" s="9"/>
    </row>
    <row r="31" spans="2:11" x14ac:dyDescent="0.2">
      <c r="H31" s="9"/>
      <c r="I31" s="9"/>
      <c r="J31" s="9"/>
    </row>
    <row r="32" spans="2:11" x14ac:dyDescent="0.2">
      <c r="H32" s="9"/>
      <c r="I32" s="9"/>
      <c r="J32" s="9"/>
    </row>
    <row r="33" spans="8:10" x14ac:dyDescent="0.2">
      <c r="H33" s="9"/>
      <c r="I33" s="9"/>
      <c r="J33" s="9"/>
    </row>
    <row r="34" spans="8:10" x14ac:dyDescent="0.2">
      <c r="H34" s="9"/>
      <c r="I34" s="9"/>
      <c r="J34" s="9"/>
    </row>
    <row r="35" spans="8:10" x14ac:dyDescent="0.2">
      <c r="H35" s="9"/>
      <c r="I35" s="9"/>
      <c r="J35" s="9"/>
    </row>
    <row r="36" spans="8:10" x14ac:dyDescent="0.2">
      <c r="H36" s="9"/>
      <c r="I36" s="9"/>
      <c r="J36" s="9"/>
    </row>
    <row r="37" spans="8:10" x14ac:dyDescent="0.2">
      <c r="H37" s="9"/>
      <c r="I37" s="9"/>
      <c r="J37" s="9"/>
    </row>
    <row r="38" spans="8:10" x14ac:dyDescent="0.2">
      <c r="H38" s="9"/>
      <c r="I38" s="9"/>
      <c r="J38" s="9"/>
    </row>
    <row r="39" spans="8:10" x14ac:dyDescent="0.2">
      <c r="H39" s="9"/>
      <c r="I39" s="9"/>
      <c r="J39" s="9"/>
    </row>
    <row r="40" spans="8:10" x14ac:dyDescent="0.2">
      <c r="H40" s="9"/>
      <c r="I40" s="9"/>
      <c r="J40" s="9"/>
    </row>
    <row r="41" spans="8:10" x14ac:dyDescent="0.2">
      <c r="H41" s="9"/>
      <c r="I41" s="9"/>
      <c r="J41" s="9"/>
    </row>
    <row r="42" spans="8:10" x14ac:dyDescent="0.2">
      <c r="H42" s="9"/>
      <c r="I42" s="9"/>
      <c r="J42" s="9"/>
    </row>
    <row r="43" spans="8:10" x14ac:dyDescent="0.2">
      <c r="H43" s="9"/>
      <c r="I43" s="9"/>
      <c r="J43" s="9"/>
    </row>
    <row r="44" spans="8:10" x14ac:dyDescent="0.2">
      <c r="H44" s="9"/>
      <c r="I44" s="9"/>
      <c r="J44" s="9"/>
    </row>
    <row r="45" spans="8:10" x14ac:dyDescent="0.2">
      <c r="H45" s="9"/>
      <c r="I45" s="9"/>
      <c r="J45" s="9"/>
    </row>
    <row r="46" spans="8:10" x14ac:dyDescent="0.2">
      <c r="H46" s="9"/>
      <c r="I46" s="9"/>
      <c r="J46" s="9"/>
    </row>
    <row r="47" spans="8:10" x14ac:dyDescent="0.2">
      <c r="H47" s="9"/>
      <c r="I47" s="9"/>
      <c r="J47" s="9"/>
    </row>
  </sheetData>
  <sortState ref="K5:K22">
    <sortCondition descending="1" ref="K28:K4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39"/>
  <sheetViews>
    <sheetView zoomScale="85" zoomScaleNormal="85" workbookViewId="0">
      <selection activeCell="L41" sqref="L41"/>
    </sheetView>
  </sheetViews>
  <sheetFormatPr defaultRowHeight="15" x14ac:dyDescent="0.25"/>
  <cols>
    <col min="4" max="4" width="11.140625" bestFit="1" customWidth="1"/>
    <col min="5" max="6" width="12" bestFit="1" customWidth="1"/>
    <col min="8" max="8" width="8.28515625" customWidth="1"/>
    <col min="9" max="9" width="10" customWidth="1"/>
    <col min="10" max="10" width="17.42578125" customWidth="1"/>
    <col min="11" max="11" width="12.28515625" bestFit="1" customWidth="1"/>
  </cols>
  <sheetData>
    <row r="1" spans="1:16" x14ac:dyDescent="0.25">
      <c r="D1" t="s">
        <v>0</v>
      </c>
      <c r="F1">
        <v>4.5606565884163919</v>
      </c>
    </row>
    <row r="2" spans="1:16" x14ac:dyDescent="0.25">
      <c r="D2" t="s">
        <v>47</v>
      </c>
      <c r="F2">
        <f>C25/D25</f>
        <v>0.19148936170212766</v>
      </c>
    </row>
    <row r="4" spans="1:16" x14ac:dyDescent="0.25">
      <c r="A4" t="s">
        <v>46</v>
      </c>
      <c r="B4" t="s">
        <v>45</v>
      </c>
      <c r="C4" t="s">
        <v>43</v>
      </c>
      <c r="D4" t="s">
        <v>44</v>
      </c>
      <c r="E4" t="s">
        <v>20</v>
      </c>
      <c r="F4" t="s">
        <v>19</v>
      </c>
      <c r="G4" s="6" t="s">
        <v>50</v>
      </c>
      <c r="H4" s="6" t="s">
        <v>49</v>
      </c>
      <c r="I4" t="s">
        <v>51</v>
      </c>
      <c r="J4" t="s">
        <v>22</v>
      </c>
      <c r="K4" t="s">
        <v>48</v>
      </c>
      <c r="N4" t="s">
        <v>19</v>
      </c>
      <c r="O4" t="s">
        <v>20</v>
      </c>
      <c r="P4" t="s">
        <v>48</v>
      </c>
    </row>
    <row r="5" spans="1:16" x14ac:dyDescent="0.25">
      <c r="A5">
        <v>20</v>
      </c>
      <c r="B5" t="s">
        <v>42</v>
      </c>
      <c r="C5">
        <v>9</v>
      </c>
      <c r="D5">
        <v>9</v>
      </c>
      <c r="E5" s="1">
        <f>SUM($C$5:C5)/$C$25</f>
        <v>0.25</v>
      </c>
      <c r="F5" s="3">
        <f>SUM($D$5:D5)/$D$25</f>
        <v>4.7872340425531915E-2</v>
      </c>
      <c r="G5" s="3">
        <f>E5-(1-EXP(-$F$1*F5))/(1-EXP(-$F$1))</f>
        <v>5.1788341995349846E-2</v>
      </c>
      <c r="H5" s="3">
        <f>G5^2</f>
        <v>2.6820323666273166E-3</v>
      </c>
      <c r="I5" s="1">
        <f>D5/2/$D$25</f>
        <v>2.3936170212765957E-2</v>
      </c>
      <c r="J5" s="12">
        <f>$F$1*$F$2*EXP(-$F$1*I5)/(1-EXP(-$F$1))</f>
        <v>0.79127410345250371</v>
      </c>
      <c r="K5">
        <f>(1-EXP(-$F$1*F5))/(1-EXP(-$F$1))</f>
        <v>0.19821165800465015</v>
      </c>
      <c r="N5">
        <v>0</v>
      </c>
      <c r="O5">
        <v>0</v>
      </c>
      <c r="P5">
        <v>0</v>
      </c>
    </row>
    <row r="6" spans="1:16" x14ac:dyDescent="0.25">
      <c r="A6">
        <v>19</v>
      </c>
      <c r="B6" t="s">
        <v>41</v>
      </c>
      <c r="C6">
        <v>7</v>
      </c>
      <c r="D6">
        <v>10</v>
      </c>
      <c r="E6" s="1">
        <f>SUM($C$5:C6)/$C$25</f>
        <v>0.44444444444444442</v>
      </c>
      <c r="F6" s="3">
        <f>SUM($D$5:D6)/$D$25</f>
        <v>0.10106382978723404</v>
      </c>
      <c r="G6" s="3">
        <f t="shared" ref="G6:G24" si="0">E6-(1-EXP(-$F$1*F6))/(1-EXP(-$F$1))</f>
        <v>7.1247355358632858E-2</v>
      </c>
      <c r="H6" s="3">
        <f t="shared" ref="H6:H24" si="1">G6^2</f>
        <v>5.0761856455993105E-3</v>
      </c>
      <c r="I6" s="1">
        <f>(SUM($D$5:D5)+D6/2)/$D$25</f>
        <v>7.4468085106382975E-2</v>
      </c>
      <c r="J6" s="12">
        <f t="shared" ref="J6:J24" si="2">$F$1*$F$2*EXP(-$F$1*I6)/(1-EXP(-$F$1))</f>
        <v>0.62840554158698403</v>
      </c>
      <c r="K6">
        <f t="shared" ref="K6:K24" si="3">(1-EXP(-$F$1*F6))/(1-EXP(-$F$1))</f>
        <v>0.37319708908581156</v>
      </c>
      <c r="N6" s="3">
        <v>4.7872340425531915E-2</v>
      </c>
      <c r="O6" s="3">
        <v>0.25</v>
      </c>
      <c r="P6" s="3">
        <v>0.19821165800465015</v>
      </c>
    </row>
    <row r="7" spans="1:16" x14ac:dyDescent="0.25">
      <c r="A7">
        <v>18</v>
      </c>
      <c r="B7" t="s">
        <v>40</v>
      </c>
      <c r="C7">
        <v>3</v>
      </c>
      <c r="D7">
        <v>10</v>
      </c>
      <c r="E7" s="1">
        <f>SUM($C$5:C7)/$C$25</f>
        <v>0.52777777777777779</v>
      </c>
      <c r="F7" s="3">
        <f>SUM($D$5:D7)/$D$25</f>
        <v>0.15425531914893617</v>
      </c>
      <c r="G7" s="3">
        <f t="shared" si="0"/>
        <v>1.7288062833804907E-2</v>
      </c>
      <c r="H7" s="3">
        <f t="shared" si="1"/>
        <v>2.9887711654558657E-4</v>
      </c>
      <c r="I7" s="1">
        <f>(SUM($D$5:D6)+D7/2)/$D$25</f>
        <v>0.1276595744680851</v>
      </c>
      <c r="J7" s="12">
        <f t="shared" si="2"/>
        <v>0.49304360011709142</v>
      </c>
      <c r="K7">
        <f t="shared" si="3"/>
        <v>0.51048971494397288</v>
      </c>
      <c r="N7" s="3">
        <v>0.10106382978723404</v>
      </c>
      <c r="O7" s="3">
        <v>0.44444444444444442</v>
      </c>
      <c r="P7" s="3">
        <v>0.37319708908581156</v>
      </c>
    </row>
    <row r="8" spans="1:16" x14ac:dyDescent="0.25">
      <c r="A8">
        <v>17</v>
      </c>
      <c r="B8" t="s">
        <v>39</v>
      </c>
      <c r="C8">
        <v>3</v>
      </c>
      <c r="D8">
        <v>8</v>
      </c>
      <c r="E8" s="1">
        <f>SUM($C$5:C8)/$C$25</f>
        <v>0.61111111111111116</v>
      </c>
      <c r="F8" s="3">
        <f>SUM($D$5:D8)/$D$25</f>
        <v>0.19680851063829788</v>
      </c>
      <c r="G8" s="3">
        <f t="shared" si="0"/>
        <v>1.240792186369144E-2</v>
      </c>
      <c r="H8" s="3">
        <f t="shared" si="1"/>
        <v>1.5395652497547207E-4</v>
      </c>
      <c r="I8" s="1">
        <f>(SUM($D$5:D7)+D8/2)/$D$25</f>
        <v>0.17553191489361702</v>
      </c>
      <c r="J8" s="12">
        <f t="shared" si="2"/>
        <v>0.39633836510085163</v>
      </c>
      <c r="K8">
        <f t="shared" si="3"/>
        <v>0.59870318924741972</v>
      </c>
      <c r="N8" s="3">
        <v>0.15425531914893617</v>
      </c>
      <c r="O8" s="3">
        <v>0.52777777777777779</v>
      </c>
      <c r="P8" s="3">
        <v>0.51048971494397288</v>
      </c>
    </row>
    <row r="9" spans="1:16" x14ac:dyDescent="0.25">
      <c r="A9">
        <v>16</v>
      </c>
      <c r="B9" t="s">
        <v>38</v>
      </c>
      <c r="C9">
        <v>3</v>
      </c>
      <c r="D9">
        <v>10</v>
      </c>
      <c r="E9" s="1">
        <f>SUM($C$5:C9)/$C$25</f>
        <v>0.69444444444444442</v>
      </c>
      <c r="F9" s="3">
        <f>SUM($D$5:D9)/$D$25</f>
        <v>0.25</v>
      </c>
      <c r="G9" s="3">
        <f t="shared" si="0"/>
        <v>7.0238590449719362E-3</v>
      </c>
      <c r="H9" s="3">
        <f t="shared" si="1"/>
        <v>4.9334595883634081E-5</v>
      </c>
      <c r="I9" s="1">
        <f>(SUM($D$5:D8)+D9/2)/$D$25</f>
        <v>0.22340425531914893</v>
      </c>
      <c r="J9" s="12">
        <f t="shared" si="2"/>
        <v>0.31860082883848523</v>
      </c>
      <c r="K9">
        <f t="shared" si="3"/>
        <v>0.68742058539947248</v>
      </c>
      <c r="N9" s="3">
        <v>0.19680851063829788</v>
      </c>
      <c r="O9" s="3">
        <v>0.61111111111111116</v>
      </c>
      <c r="P9" s="3">
        <v>0.59870318924741972</v>
      </c>
    </row>
    <row r="10" spans="1:16" x14ac:dyDescent="0.25">
      <c r="A10">
        <v>15</v>
      </c>
      <c r="B10" t="s">
        <v>37</v>
      </c>
      <c r="C10">
        <v>1</v>
      </c>
      <c r="D10">
        <v>9</v>
      </c>
      <c r="E10" s="1">
        <f>SUM($C$5:C10)/$C$25</f>
        <v>0.72222222222222221</v>
      </c>
      <c r="F10" s="3">
        <f>SUM($D$5:D10)/$D$25</f>
        <v>0.2978723404255319</v>
      </c>
      <c r="G10" s="3">
        <f t="shared" si="0"/>
        <v>-2.8579817016853526E-2</v>
      </c>
      <c r="H10" s="3">
        <f t="shared" si="1"/>
        <v>8.1680594071683037E-4</v>
      </c>
      <c r="I10" s="1">
        <f>(SUM($D$5:D9)+D10/2)/$D$25</f>
        <v>0.27393617021276595</v>
      </c>
      <c r="J10" s="12">
        <f t="shared" si="2"/>
        <v>0.25302297335745927</v>
      </c>
      <c r="K10">
        <f t="shared" si="3"/>
        <v>0.75080203923907574</v>
      </c>
      <c r="N10" s="3">
        <v>0.25</v>
      </c>
      <c r="O10" s="3">
        <v>0.69444444444444442</v>
      </c>
      <c r="P10" s="3">
        <v>0.68742058539947248</v>
      </c>
    </row>
    <row r="11" spans="1:16" x14ac:dyDescent="0.25">
      <c r="A11">
        <v>14</v>
      </c>
      <c r="B11" t="s">
        <v>36</v>
      </c>
      <c r="C11">
        <v>2</v>
      </c>
      <c r="D11">
        <v>10</v>
      </c>
      <c r="E11" s="1">
        <f>SUM($C$5:C11)/$C$25</f>
        <v>0.77777777777777779</v>
      </c>
      <c r="F11" s="3">
        <f>SUM($D$5:D11)/$D$25</f>
        <v>0.35106382978723405</v>
      </c>
      <c r="G11" s="3">
        <f t="shared" si="0"/>
        <v>-2.8978745341421419E-2</v>
      </c>
      <c r="H11" s="3">
        <f t="shared" si="1"/>
        <v>8.3976768156295359E-4</v>
      </c>
      <c r="I11" s="1">
        <f>(SUM($D$5:D10)+D11/2)/$D$25</f>
        <v>0.32446808510638298</v>
      </c>
      <c r="J11" s="12">
        <f t="shared" si="2"/>
        <v>0.20094305868584172</v>
      </c>
      <c r="K11">
        <f t="shared" si="3"/>
        <v>0.80675652311919921</v>
      </c>
      <c r="N11" s="3">
        <v>0.2978723404255319</v>
      </c>
      <c r="O11" s="3">
        <v>0.72222222222222221</v>
      </c>
      <c r="P11" s="3">
        <v>0.75080203923907574</v>
      </c>
    </row>
    <row r="12" spans="1:16" x14ac:dyDescent="0.25">
      <c r="A12">
        <v>13</v>
      </c>
      <c r="B12" t="s">
        <v>35</v>
      </c>
      <c r="C12">
        <v>2</v>
      </c>
      <c r="D12">
        <v>10</v>
      </c>
      <c r="E12" s="1">
        <f>SUM($C$5:C12)/$C$25</f>
        <v>0.83333333333333337</v>
      </c>
      <c r="F12" s="3">
        <f>SUM($D$5:D12)/$D$25</f>
        <v>0.40425531914893614</v>
      </c>
      <c r="G12" s="3">
        <f t="shared" si="0"/>
        <v>-1.7324776180662305E-2</v>
      </c>
      <c r="H12" s="3">
        <f t="shared" si="1"/>
        <v>3.0014786971004396E-4</v>
      </c>
      <c r="I12" s="1">
        <f>(SUM($D$5:D11)+D12/2)/$D$25</f>
        <v>0.37765957446808512</v>
      </c>
      <c r="J12" s="12">
        <f t="shared" si="2"/>
        <v>0.15765884053601006</v>
      </c>
      <c r="K12">
        <f t="shared" si="3"/>
        <v>0.85065810951399567</v>
      </c>
      <c r="N12" s="3">
        <v>0.35106382978723405</v>
      </c>
      <c r="O12" s="3">
        <v>0.77777777777777779</v>
      </c>
      <c r="P12" s="3">
        <v>0.80675652311919921</v>
      </c>
    </row>
    <row r="13" spans="1:16" x14ac:dyDescent="0.25">
      <c r="A13">
        <v>12</v>
      </c>
      <c r="B13" t="s">
        <v>34</v>
      </c>
      <c r="C13">
        <v>1</v>
      </c>
      <c r="D13">
        <v>8</v>
      </c>
      <c r="E13" s="1">
        <f>SUM($C$5:C13)/$C$25</f>
        <v>0.86111111111111116</v>
      </c>
      <c r="F13" s="3">
        <f>SUM($D$5:D13)/$D$25</f>
        <v>0.44680851063829785</v>
      </c>
      <c r="G13" s="3">
        <f t="shared" si="0"/>
        <v>-1.7754714870620081E-2</v>
      </c>
      <c r="H13" s="3">
        <f t="shared" si="1"/>
        <v>3.1522990013701781E-4</v>
      </c>
      <c r="I13" s="1">
        <f>(SUM($D$5:D12)+D13/2)/$D$25</f>
        <v>0.42553191489361702</v>
      </c>
      <c r="J13" s="12">
        <f t="shared" si="2"/>
        <v>0.1267357432220973</v>
      </c>
      <c r="K13">
        <f t="shared" si="3"/>
        <v>0.87886582598173124</v>
      </c>
      <c r="N13" s="3">
        <v>0.40425531914893614</v>
      </c>
      <c r="O13" s="3">
        <v>0.83333333333333337</v>
      </c>
      <c r="P13" s="3">
        <v>0.85065810951399567</v>
      </c>
    </row>
    <row r="14" spans="1:16" x14ac:dyDescent="0.25">
      <c r="A14">
        <v>11</v>
      </c>
      <c r="B14" t="s">
        <v>33</v>
      </c>
      <c r="C14">
        <v>1</v>
      </c>
      <c r="D14">
        <v>10</v>
      </c>
      <c r="E14" s="1">
        <f>SUM($C$5:C14)/$C$25</f>
        <v>0.88888888888888884</v>
      </c>
      <c r="F14" s="3">
        <f>SUM($D$5:D14)/$D$25</f>
        <v>0.5</v>
      </c>
      <c r="G14" s="3">
        <f t="shared" si="0"/>
        <v>-1.8345790900872294E-2</v>
      </c>
      <c r="H14" s="3">
        <f t="shared" si="1"/>
        <v>3.3656804377852869E-4</v>
      </c>
      <c r="I14" s="1">
        <f>(SUM($D$5:D13)+D14/2)/$D$25</f>
        <v>0.47340425531914893</v>
      </c>
      <c r="J14" s="12">
        <f t="shared" si="2"/>
        <v>0.10187788109724646</v>
      </c>
      <c r="K14">
        <f t="shared" si="3"/>
        <v>0.90723467978976113</v>
      </c>
      <c r="N14" s="3">
        <v>0.44680851063829785</v>
      </c>
      <c r="O14" s="3">
        <v>0.86111111111111116</v>
      </c>
      <c r="P14" s="3">
        <v>0.87886582598173124</v>
      </c>
    </row>
    <row r="15" spans="1:16" x14ac:dyDescent="0.25">
      <c r="A15">
        <v>10</v>
      </c>
      <c r="B15" t="s">
        <v>32</v>
      </c>
      <c r="C15">
        <v>1</v>
      </c>
      <c r="D15">
        <v>9</v>
      </c>
      <c r="E15" s="1">
        <f>SUM($C$5:C15)/$C$25</f>
        <v>0.91666666666666663</v>
      </c>
      <c r="F15" s="3">
        <f>SUM($D$5:D15)/$D$25</f>
        <v>0.5478723404255319</v>
      </c>
      <c r="G15" s="3">
        <f t="shared" si="0"/>
        <v>-1.0835280605048236E-2</v>
      </c>
      <c r="H15" s="3">
        <f t="shared" si="1"/>
        <v>1.1740330579013448E-4</v>
      </c>
      <c r="I15" s="1">
        <f>(SUM($D$5:D14)+D15/2)/$D$25</f>
        <v>0.52393617021276595</v>
      </c>
      <c r="J15" s="12">
        <f t="shared" si="2"/>
        <v>8.0908277886655763E-2</v>
      </c>
      <c r="K15">
        <f t="shared" si="3"/>
        <v>0.92750194727171487</v>
      </c>
      <c r="N15" s="3">
        <v>0.5</v>
      </c>
      <c r="O15" s="3">
        <v>0.88888888888888884</v>
      </c>
      <c r="P15" s="3">
        <v>0.90723467978976113</v>
      </c>
    </row>
    <row r="16" spans="1:16" x14ac:dyDescent="0.25">
      <c r="A16">
        <v>9</v>
      </c>
      <c r="B16" t="s">
        <v>31</v>
      </c>
      <c r="C16">
        <v>0</v>
      </c>
      <c r="D16">
        <v>9</v>
      </c>
      <c r="E16" s="1">
        <f>SUM($C$5:C16)/$C$25</f>
        <v>0.91666666666666663</v>
      </c>
      <c r="F16" s="3">
        <f>SUM($D$5:D16)/$D$25</f>
        <v>0.5957446808510638</v>
      </c>
      <c r="G16" s="3">
        <f t="shared" si="0"/>
        <v>-2.7127340084071028E-2</v>
      </c>
      <c r="H16" s="3">
        <f t="shared" si="1"/>
        <v>7.3589258003684671E-4</v>
      </c>
      <c r="I16" s="1">
        <f>(SUM($D$5:D15)+D16/2)/$D$25</f>
        <v>0.57180851063829785</v>
      </c>
      <c r="J16" s="12">
        <f t="shared" si="2"/>
        <v>6.503898351607651E-2</v>
      </c>
      <c r="K16">
        <f t="shared" si="3"/>
        <v>0.94379400675073766</v>
      </c>
      <c r="N16" s="3">
        <v>0.5478723404255319</v>
      </c>
      <c r="O16" s="3">
        <v>0.91666666666666663</v>
      </c>
      <c r="P16" s="3">
        <v>0.92750194727171487</v>
      </c>
    </row>
    <row r="17" spans="1:16" x14ac:dyDescent="0.25">
      <c r="A17">
        <v>8</v>
      </c>
      <c r="B17" t="s">
        <v>30</v>
      </c>
      <c r="C17">
        <v>1</v>
      </c>
      <c r="D17">
        <v>10</v>
      </c>
      <c r="E17" s="1">
        <f>SUM($C$5:C17)/$C$25</f>
        <v>0.94444444444444442</v>
      </c>
      <c r="F17" s="3">
        <f>SUM($D$5:D17)/$D$25</f>
        <v>0.64893617021276595</v>
      </c>
      <c r="G17" s="3">
        <f t="shared" si="0"/>
        <v>-1.3732535940820134E-2</v>
      </c>
      <c r="H17" s="3">
        <f t="shared" si="1"/>
        <v>1.8858254336591673E-4</v>
      </c>
      <c r="I17" s="1">
        <f>(SUM($D$5:D16)+D17/2)/$D$25</f>
        <v>0.62234042553191493</v>
      </c>
      <c r="J17" s="12">
        <f t="shared" si="2"/>
        <v>5.1651959140781183E-2</v>
      </c>
      <c r="K17">
        <f t="shared" si="3"/>
        <v>0.95817698038526455</v>
      </c>
      <c r="N17" s="3">
        <v>0.5957446808510638</v>
      </c>
      <c r="O17" s="3">
        <v>0.91666666666666663</v>
      </c>
      <c r="P17" s="3">
        <v>0.94379400675073766</v>
      </c>
    </row>
    <row r="18" spans="1:16" x14ac:dyDescent="0.25">
      <c r="A18">
        <v>7</v>
      </c>
      <c r="B18" t="s">
        <v>29</v>
      </c>
      <c r="C18">
        <v>0</v>
      </c>
      <c r="D18">
        <v>9</v>
      </c>
      <c r="E18" s="1">
        <f>SUM($C$5:C18)/$C$25</f>
        <v>0.94444444444444442</v>
      </c>
      <c r="F18" s="3">
        <f>SUM($D$5:D18)/$D$25</f>
        <v>0.69680851063829785</v>
      </c>
      <c r="G18" s="3">
        <f t="shared" si="0"/>
        <v>-2.4008015373631397E-2</v>
      </c>
      <c r="H18" s="3">
        <f t="shared" si="1"/>
        <v>5.7638480218052154E-4</v>
      </c>
      <c r="I18" s="1">
        <f>(SUM($D$5:D17)+D18/2)/$D$25</f>
        <v>0.6728723404255319</v>
      </c>
      <c r="J18" s="12">
        <f t="shared" si="2"/>
        <v>4.1020396366149625E-2</v>
      </c>
      <c r="K18">
        <f t="shared" si="3"/>
        <v>0.96845245981807582</v>
      </c>
      <c r="N18" s="3">
        <v>0.64893617021276595</v>
      </c>
      <c r="O18" s="3">
        <v>0.94444444444444442</v>
      </c>
      <c r="P18" s="3">
        <v>0.95817698038526455</v>
      </c>
    </row>
    <row r="19" spans="1:16" x14ac:dyDescent="0.25">
      <c r="A19">
        <v>6</v>
      </c>
      <c r="B19" t="s">
        <v>28</v>
      </c>
      <c r="C19">
        <v>0</v>
      </c>
      <c r="D19">
        <v>10</v>
      </c>
      <c r="E19" s="1">
        <f>SUM($C$5:C19)/$C$25</f>
        <v>0.94444444444444442</v>
      </c>
      <c r="F19" s="3">
        <f>SUM($D$5:D19)/$D$25</f>
        <v>0.75</v>
      </c>
      <c r="G19" s="3">
        <f t="shared" si="0"/>
        <v>-3.3079425280680974E-2</v>
      </c>
      <c r="H19" s="3">
        <f t="shared" si="1"/>
        <v>1.0942483769001555E-3</v>
      </c>
      <c r="I19" s="1">
        <f>(SUM($D$5:D18)+D19/2)/$D$25</f>
        <v>0.72340425531914898</v>
      </c>
      <c r="J19" s="12">
        <f t="shared" si="2"/>
        <v>3.2577136395732294E-2</v>
      </c>
      <c r="K19">
        <f t="shared" si="3"/>
        <v>0.97752386972512539</v>
      </c>
      <c r="N19" s="3">
        <v>0.69680851063829785</v>
      </c>
      <c r="O19" s="3">
        <v>0.94444444444444442</v>
      </c>
      <c r="P19" s="3">
        <v>0.96845245981807582</v>
      </c>
    </row>
    <row r="20" spans="1:16" x14ac:dyDescent="0.25">
      <c r="A20">
        <v>5</v>
      </c>
      <c r="B20" t="s">
        <v>27</v>
      </c>
      <c r="C20">
        <v>1</v>
      </c>
      <c r="D20">
        <v>9</v>
      </c>
      <c r="E20" s="1">
        <f>SUM($C$5:C20)/$C$25</f>
        <v>0.97222222222222221</v>
      </c>
      <c r="F20" s="3">
        <f>SUM($D$5:D20)/$D$25</f>
        <v>0.7978723404255319</v>
      </c>
      <c r="G20" s="3">
        <f>E20-(1-EXP(-$F$1*F20))/(1-EXP(-$F$1))</f>
        <v>-1.1782441273026412E-2</v>
      </c>
      <c r="H20" s="3">
        <f t="shared" si="1"/>
        <v>1.3882592235231624E-4</v>
      </c>
      <c r="I20" s="1">
        <f>(SUM($D$5:D19)+D20/2)/$D$25</f>
        <v>0.77393617021276595</v>
      </c>
      <c r="J20" s="12">
        <f t="shared" si="2"/>
        <v>2.5871759167639716E-2</v>
      </c>
      <c r="K20">
        <f t="shared" si="3"/>
        <v>0.98400466349524862</v>
      </c>
      <c r="N20" s="3">
        <v>0.75</v>
      </c>
      <c r="O20" s="3">
        <v>0.94444444444444442</v>
      </c>
      <c r="P20" s="3">
        <v>0.97752386972512539</v>
      </c>
    </row>
    <row r="21" spans="1:16" x14ac:dyDescent="0.25">
      <c r="A21">
        <v>4</v>
      </c>
      <c r="B21" t="s">
        <v>26</v>
      </c>
      <c r="C21">
        <v>1</v>
      </c>
      <c r="D21">
        <v>9</v>
      </c>
      <c r="E21" s="1">
        <f>SUM($C$5:C21)/$C$25</f>
        <v>1</v>
      </c>
      <c r="F21" s="3">
        <f>SUM($D$5:D21)/$D$25</f>
        <v>0.8457446808510638</v>
      </c>
      <c r="G21" s="3">
        <f t="shared" si="0"/>
        <v>1.0785681198817954E-2</v>
      </c>
      <c r="H21" s="3">
        <f t="shared" si="1"/>
        <v>1.1633091892253509E-4</v>
      </c>
      <c r="I21" s="1">
        <f>(SUM($D$5:D20)+D21/2)/$D$25</f>
        <v>0.82180851063829785</v>
      </c>
      <c r="J21" s="12">
        <f t="shared" si="2"/>
        <v>2.0797289992913633E-2</v>
      </c>
      <c r="K21">
        <f t="shared" si="3"/>
        <v>0.98921431880118205</v>
      </c>
      <c r="N21" s="3">
        <v>0.7978723404255319</v>
      </c>
      <c r="O21" s="3">
        <v>0.97222222222222221</v>
      </c>
      <c r="P21" s="3">
        <v>0.98400466349524862</v>
      </c>
    </row>
    <row r="22" spans="1:16" x14ac:dyDescent="0.25">
      <c r="A22">
        <v>3</v>
      </c>
      <c r="B22" t="s">
        <v>25</v>
      </c>
      <c r="C22">
        <v>0</v>
      </c>
      <c r="D22">
        <v>10</v>
      </c>
      <c r="E22" s="1">
        <f>SUM($C$5:C22)/$C$25</f>
        <v>1</v>
      </c>
      <c r="F22" s="3">
        <f>SUM($D$5:D22)/$D$25</f>
        <v>0.89893617021276595</v>
      </c>
      <c r="G22" s="3">
        <f t="shared" si="0"/>
        <v>6.1864876464812202E-3</v>
      </c>
      <c r="H22" s="3">
        <f t="shared" si="1"/>
        <v>3.827262940006475E-5</v>
      </c>
      <c r="I22" s="1">
        <f>(SUM($D$5:D21)+D22/2)/$D$25</f>
        <v>0.87234042553191493</v>
      </c>
      <c r="J22" s="12">
        <f t="shared" si="2"/>
        <v>1.6516567678020722E-2</v>
      </c>
      <c r="K22">
        <f t="shared" si="3"/>
        <v>0.99381351235351878</v>
      </c>
      <c r="N22" s="3">
        <v>0.8457446808510638</v>
      </c>
      <c r="O22" s="3">
        <v>1</v>
      </c>
      <c r="P22" s="3">
        <v>0.98921431880118205</v>
      </c>
    </row>
    <row r="23" spans="1:16" x14ac:dyDescent="0.25">
      <c r="A23">
        <v>2</v>
      </c>
      <c r="B23" t="s">
        <v>24</v>
      </c>
      <c r="C23">
        <v>0</v>
      </c>
      <c r="D23">
        <v>9</v>
      </c>
      <c r="E23" s="1">
        <f>SUM($C$5:C23)/$C$25</f>
        <v>1</v>
      </c>
      <c r="F23" s="3">
        <f>SUM($D$5:D23)/$D$25</f>
        <v>0.94680851063829785</v>
      </c>
      <c r="G23" s="3">
        <f t="shared" si="0"/>
        <v>2.9007332569221944E-3</v>
      </c>
      <c r="H23" s="3">
        <f t="shared" si="1"/>
        <v>8.4142534278144423E-6</v>
      </c>
      <c r="I23" s="1">
        <f>(SUM($D$5:D22)+D23/2)/$D$25</f>
        <v>0.9228723404255319</v>
      </c>
      <c r="J23" s="12">
        <f t="shared" si="2"/>
        <v>1.3116949754299277E-2</v>
      </c>
      <c r="K23">
        <f t="shared" si="3"/>
        <v>0.99709926674307781</v>
      </c>
      <c r="N23" s="3">
        <v>0.89893617021276595</v>
      </c>
      <c r="O23" s="3">
        <v>1</v>
      </c>
      <c r="P23" s="3">
        <v>0.99381351235351878</v>
      </c>
    </row>
    <row r="24" spans="1:16" x14ac:dyDescent="0.25">
      <c r="A24">
        <v>1</v>
      </c>
      <c r="B24" t="s">
        <v>23</v>
      </c>
      <c r="C24">
        <v>0</v>
      </c>
      <c r="D24">
        <v>10</v>
      </c>
      <c r="E24" s="1">
        <f>SUM($C$5:C24)/$C$25</f>
        <v>1</v>
      </c>
      <c r="F24" s="3">
        <f>SUM($D$5:D24)/$D$25</f>
        <v>1</v>
      </c>
      <c r="G24" s="3">
        <f t="shared" si="0"/>
        <v>0</v>
      </c>
      <c r="H24" s="3">
        <f t="shared" si="1"/>
        <v>0</v>
      </c>
      <c r="I24" s="1">
        <f>(SUM($D$5:D23)+D24/2)/$D$25</f>
        <v>0.97340425531914898</v>
      </c>
      <c r="J24" s="12">
        <f t="shared" si="2"/>
        <v>1.0417077822153778E-2</v>
      </c>
      <c r="K24">
        <f t="shared" si="3"/>
        <v>1</v>
      </c>
      <c r="N24" s="3">
        <v>0.94680851063829785</v>
      </c>
      <c r="O24" s="3">
        <v>1</v>
      </c>
      <c r="P24" s="3">
        <v>0.99709926674307781</v>
      </c>
    </row>
    <row r="25" spans="1:16" x14ac:dyDescent="0.25">
      <c r="C25">
        <f>SUM(C5:C24)</f>
        <v>36</v>
      </c>
      <c r="D25">
        <f>SUM(D5:D24)</f>
        <v>188</v>
      </c>
      <c r="F25" s="3"/>
      <c r="G25" s="3"/>
      <c r="H25" s="3">
        <f>SUM(H5:H24)</f>
        <v>1.3883261017912998E-2</v>
      </c>
      <c r="N25" s="3">
        <v>1</v>
      </c>
      <c r="O25" s="3">
        <v>1</v>
      </c>
      <c r="P25" s="3">
        <v>1</v>
      </c>
    </row>
    <row r="28" spans="1:16" x14ac:dyDescent="0.25">
      <c r="D28" t="s">
        <v>0</v>
      </c>
      <c r="F28">
        <v>4.8091883873835162</v>
      </c>
    </row>
    <row r="29" spans="1:16" x14ac:dyDescent="0.25">
      <c r="D29" t="s">
        <v>61</v>
      </c>
      <c r="F29" s="13">
        <f>11/471</f>
        <v>2.3354564755838639E-2</v>
      </c>
    </row>
    <row r="30" spans="1:16" x14ac:dyDescent="0.25">
      <c r="N30" t="s">
        <v>19</v>
      </c>
      <c r="O30" t="s">
        <v>20</v>
      </c>
      <c r="P30" t="s">
        <v>48</v>
      </c>
    </row>
    <row r="31" spans="1:16" x14ac:dyDescent="0.25">
      <c r="A31" t="s">
        <v>46</v>
      </c>
      <c r="B31" t="s">
        <v>45</v>
      </c>
      <c r="C31" t="s">
        <v>59</v>
      </c>
      <c r="D31" t="s">
        <v>60</v>
      </c>
      <c r="E31" t="s">
        <v>20</v>
      </c>
      <c r="F31" t="s">
        <v>19</v>
      </c>
      <c r="G31" s="6" t="s">
        <v>50</v>
      </c>
      <c r="H31" s="6" t="s">
        <v>49</v>
      </c>
      <c r="I31" t="s">
        <v>51</v>
      </c>
      <c r="J31" s="11" t="s">
        <v>22</v>
      </c>
      <c r="K31" t="s">
        <v>48</v>
      </c>
      <c r="N31">
        <v>0</v>
      </c>
      <c r="O31">
        <v>0</v>
      </c>
      <c r="P31">
        <v>0</v>
      </c>
    </row>
    <row r="32" spans="1:16" x14ac:dyDescent="0.25">
      <c r="A32">
        <v>7</v>
      </c>
      <c r="B32" t="s">
        <v>58</v>
      </c>
      <c r="C32">
        <v>16</v>
      </c>
      <c r="D32">
        <v>19</v>
      </c>
      <c r="E32" s="3">
        <f>SUM($C$32:C32)/$C$39</f>
        <v>0.44444444444444442</v>
      </c>
      <c r="F32" s="3">
        <f>SUM($D$32:D32)/$D$39</f>
        <v>0.10106382978723404</v>
      </c>
      <c r="G32">
        <f>E32-(1-EXP(-$F$28*F32))/(1-EXP(-$F$28))</f>
        <v>5.6339937755496949E-2</v>
      </c>
      <c r="H32">
        <f t="shared" ref="H32:H38" si="4">G32^2</f>
        <v>3.1741885862932705E-3</v>
      </c>
      <c r="I32">
        <f>D32/2/$D$39</f>
        <v>5.0531914893617018E-2</v>
      </c>
      <c r="J32" s="12">
        <f>$F$28*$F$29*EXP(-$F$28*I32)/(1-EXP(-$F$28))</f>
        <v>8.8809284507154779E-2</v>
      </c>
      <c r="K32" s="3">
        <f>(1-EXP(-$F$28*F32))/(1-EXP(-$F$28))</f>
        <v>0.38810450668894747</v>
      </c>
      <c r="N32" s="2">
        <v>0.10106382978723404</v>
      </c>
      <c r="O32" s="2">
        <v>0.44444444444444442</v>
      </c>
      <c r="P32" s="2">
        <v>0.38810461669125401</v>
      </c>
    </row>
    <row r="33" spans="1:16" x14ac:dyDescent="0.25">
      <c r="A33">
        <v>6</v>
      </c>
      <c r="B33" t="s">
        <v>57</v>
      </c>
      <c r="C33">
        <v>9</v>
      </c>
      <c r="D33">
        <v>28</v>
      </c>
      <c r="E33" s="3">
        <f>SUM($C$32:C33)/$C$39</f>
        <v>0.69444444444444442</v>
      </c>
      <c r="F33" s="3">
        <f>SUM($D$32:D33)/$D$39</f>
        <v>0.25</v>
      </c>
      <c r="G33">
        <f t="shared" ref="G32:G38" si="5">E33-(1-EXP(-$F$28*F33))/(1-EXP(-$F$28))</f>
        <v>-1.080334756850676E-2</v>
      </c>
      <c r="H33">
        <f t="shared" si="4"/>
        <v>1.1671231868596092E-4</v>
      </c>
      <c r="I33">
        <f>(SUM($D$32:D32)+D33/2)/$D$39</f>
        <v>0.17553191489361702</v>
      </c>
      <c r="J33" s="12">
        <f t="shared" ref="J33:J38" si="6">$F$28*$F$29*EXP(-$F$28*I33)/(1-EXP(-$F$28))</f>
        <v>4.8683621111336423E-2</v>
      </c>
      <c r="K33" s="3">
        <f>(1-EXP(-$F$28*F33))/(1-EXP(-$F$28))</f>
        <v>0.70524779201295118</v>
      </c>
      <c r="N33" s="2">
        <v>0.25</v>
      </c>
      <c r="O33" s="2">
        <v>0.69444444444444442</v>
      </c>
      <c r="P33" s="2">
        <v>0.7052479213683388</v>
      </c>
    </row>
    <row r="34" spans="1:16" x14ac:dyDescent="0.25">
      <c r="A34">
        <v>5</v>
      </c>
      <c r="B34" t="s">
        <v>56</v>
      </c>
      <c r="C34">
        <v>5</v>
      </c>
      <c r="D34">
        <v>29</v>
      </c>
      <c r="E34" s="3">
        <f>SUM($C$32:C34)/$C$39</f>
        <v>0.83333333333333337</v>
      </c>
      <c r="F34" s="3">
        <f>SUM($D$32:D34)/$D$39</f>
        <v>0.40425531914893614</v>
      </c>
      <c r="G34">
        <f t="shared" si="5"/>
        <v>-3.060135353102067E-2</v>
      </c>
      <c r="H34">
        <f t="shared" si="4"/>
        <v>9.3644283793051122E-4</v>
      </c>
      <c r="I34">
        <f>(SUM($D$32:D33)+D34/2)/$D$39</f>
        <v>0.3271276595744681</v>
      </c>
      <c r="J34" s="12">
        <f t="shared" si="6"/>
        <v>2.3483314706312153E-2</v>
      </c>
      <c r="K34" s="3">
        <f>(1-EXP(-$F$28*F34))/(1-EXP(-$F$28))</f>
        <v>0.86393468686435404</v>
      </c>
      <c r="N34" s="2">
        <v>0.40425531914893614</v>
      </c>
      <c r="O34" s="2">
        <v>0.83333333333333337</v>
      </c>
      <c r="P34" s="2">
        <v>0.86393478160049686</v>
      </c>
    </row>
    <row r="35" spans="1:16" x14ac:dyDescent="0.25">
      <c r="A35">
        <v>4</v>
      </c>
      <c r="B35" t="s">
        <v>55</v>
      </c>
      <c r="C35">
        <v>3</v>
      </c>
      <c r="D35">
        <v>36</v>
      </c>
      <c r="E35" s="3">
        <f>SUM($C$32:C35)/$C$39</f>
        <v>0.91666666666666663</v>
      </c>
      <c r="F35" s="3">
        <f>SUM($D$32:D35)/$D$39</f>
        <v>0.5957446808510638</v>
      </c>
      <c r="G35">
        <f t="shared" si="5"/>
        <v>-3.410601249117351E-2</v>
      </c>
      <c r="H35">
        <f t="shared" si="4"/>
        <v>1.1632200880480835E-3</v>
      </c>
      <c r="I35">
        <f>(SUM($D$32:D34)+D35/2)/$D$39</f>
        <v>0.5</v>
      </c>
      <c r="J35" s="12">
        <f t="shared" si="6"/>
        <v>1.0225805787018321E-2</v>
      </c>
      <c r="K35" s="3">
        <f>(1-EXP(-$F$28*F35))/(1-EXP(-$F$28))</f>
        <v>0.95077267915784014</v>
      </c>
      <c r="N35" s="2">
        <v>0.5957446808510638</v>
      </c>
      <c r="O35" s="2">
        <v>0.91666666666666663</v>
      </c>
      <c r="P35" s="2">
        <v>0.95077272799637202</v>
      </c>
    </row>
    <row r="36" spans="1:16" x14ac:dyDescent="0.25">
      <c r="A36">
        <v>3</v>
      </c>
      <c r="B36" t="s">
        <v>54</v>
      </c>
      <c r="C36">
        <v>2</v>
      </c>
      <c r="D36">
        <v>38</v>
      </c>
      <c r="E36" s="3">
        <f>SUM($C$32:C36)/$C$39</f>
        <v>0.97222222222222221</v>
      </c>
      <c r="F36" s="3">
        <f>SUM($D$32:D36)/$D$39</f>
        <v>0.7978723404255319</v>
      </c>
      <c r="G36">
        <f t="shared" si="5"/>
        <v>-1.4266448509753893E-2</v>
      </c>
      <c r="H36">
        <f t="shared" si="4"/>
        <v>2.0353155308145906E-4</v>
      </c>
      <c r="I36">
        <f>(SUM($D$32:D35)+D36/2)/$D$39</f>
        <v>0.69680851063829785</v>
      </c>
      <c r="J36" s="12">
        <f t="shared" si="6"/>
        <v>3.9686472775437862E-3</v>
      </c>
      <c r="K36" s="3">
        <f>(1-EXP(-$F$28*F36))/(1-EXP(-$F$28))</f>
        <v>0.9864886707319761</v>
      </c>
      <c r="N36" s="2">
        <v>0.7978723404255319</v>
      </c>
      <c r="O36" s="2">
        <v>0.97222222222222221</v>
      </c>
      <c r="P36" s="2">
        <v>0.98648868780102494</v>
      </c>
    </row>
    <row r="37" spans="1:16" x14ac:dyDescent="0.25">
      <c r="A37">
        <v>2</v>
      </c>
      <c r="B37" t="s">
        <v>53</v>
      </c>
      <c r="C37">
        <v>1</v>
      </c>
      <c r="D37">
        <v>28</v>
      </c>
      <c r="E37" s="3">
        <f>SUM($C$32:C37)/$C$39</f>
        <v>1</v>
      </c>
      <c r="F37" s="3">
        <f>SUM($D$32:D37)/$D$39</f>
        <v>0.94680851063829785</v>
      </c>
      <c r="G37">
        <f t="shared" si="5"/>
        <v>2.3966101302665965E-3</v>
      </c>
      <c r="H37">
        <f t="shared" si="4"/>
        <v>5.7437401164964731E-6</v>
      </c>
      <c r="I37">
        <f>(SUM($D$32:D36)+D37/2)/$D$39</f>
        <v>0.87234042553191493</v>
      </c>
      <c r="J37" s="12">
        <f t="shared" si="6"/>
        <v>1.7061839247477348E-3</v>
      </c>
      <c r="K37" s="3">
        <f>(1-EXP(-$F$28*F37))/(1-EXP(-$F$28))</f>
        <v>0.9976033898697334</v>
      </c>
      <c r="N37" s="2">
        <v>0.94680851063829785</v>
      </c>
      <c r="O37" s="2">
        <v>1</v>
      </c>
      <c r="P37" s="2">
        <v>0.99760339329389791</v>
      </c>
    </row>
    <row r="38" spans="1:16" x14ac:dyDescent="0.25">
      <c r="A38">
        <v>1</v>
      </c>
      <c r="B38" t="s">
        <v>52</v>
      </c>
      <c r="C38">
        <v>0</v>
      </c>
      <c r="D38">
        <v>10</v>
      </c>
      <c r="E38" s="3">
        <f>SUM($C$32:C38)/$C$39</f>
        <v>1</v>
      </c>
      <c r="F38" s="3">
        <f>SUM($D$32:D38)/$D$39</f>
        <v>1</v>
      </c>
      <c r="G38">
        <f t="shared" si="5"/>
        <v>0</v>
      </c>
      <c r="H38">
        <f t="shared" si="4"/>
        <v>0</v>
      </c>
      <c r="I38">
        <f>(SUM($D$32:D37)+D38/2)/$D$39</f>
        <v>0.97340425531914898</v>
      </c>
      <c r="J38" s="12">
        <f t="shared" si="6"/>
        <v>1.0494059657625255E-3</v>
      </c>
      <c r="K38" s="3">
        <f>(1-EXP(-$F$28*F38))/(1-EXP(-$F$28))</f>
        <v>1</v>
      </c>
      <c r="N38" s="2">
        <v>1</v>
      </c>
      <c r="O38" s="2">
        <v>1</v>
      </c>
      <c r="P38" s="2">
        <v>1</v>
      </c>
    </row>
    <row r="39" spans="1:16" x14ac:dyDescent="0.25">
      <c r="C39">
        <f>SUM(C32:C38)</f>
        <v>36</v>
      </c>
      <c r="D39">
        <f>SUM(D32:D38)</f>
        <v>188</v>
      </c>
      <c r="H39">
        <f>SUM(H32:H38)</f>
        <v>5.5998391241557817E-3</v>
      </c>
    </row>
  </sheetData>
  <sortState ref="A32:I38">
    <sortCondition descending="1" ref="A32:A3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53"/>
  <sheetViews>
    <sheetView tabSelected="1" topLeftCell="E1" zoomScale="85" zoomScaleNormal="85" workbookViewId="0">
      <selection activeCell="AA29" sqref="AA29"/>
    </sheetView>
  </sheetViews>
  <sheetFormatPr defaultRowHeight="15" x14ac:dyDescent="0.25"/>
  <cols>
    <col min="4" max="4" width="11.140625" bestFit="1" customWidth="1"/>
    <col min="5" max="6" width="12" bestFit="1" customWidth="1"/>
    <col min="8" max="8" width="8.28515625" customWidth="1"/>
    <col min="9" max="9" width="10" customWidth="1"/>
    <col min="10" max="11" width="12.28515625" bestFit="1" customWidth="1"/>
  </cols>
  <sheetData>
    <row r="1" spans="1:16" x14ac:dyDescent="0.25">
      <c r="D1" t="s">
        <v>0</v>
      </c>
      <c r="F1">
        <v>1.6691128037381775</v>
      </c>
    </row>
    <row r="2" spans="1:16" x14ac:dyDescent="0.25">
      <c r="D2" t="s">
        <v>47</v>
      </c>
      <c r="F2">
        <f>C25/D25</f>
        <v>5.8510638297872342E-2</v>
      </c>
    </row>
    <row r="4" spans="1:16" x14ac:dyDescent="0.25">
      <c r="A4" t="s">
        <v>46</v>
      </c>
      <c r="B4" t="s">
        <v>45</v>
      </c>
      <c r="C4" t="s">
        <v>43</v>
      </c>
      <c r="D4" t="s">
        <v>44</v>
      </c>
      <c r="E4" t="s">
        <v>20</v>
      </c>
      <c r="F4" t="s">
        <v>19</v>
      </c>
      <c r="G4" s="6" t="s">
        <v>50</v>
      </c>
      <c r="H4" s="6" t="s">
        <v>49</v>
      </c>
      <c r="I4" t="s">
        <v>51</v>
      </c>
      <c r="J4" t="s">
        <v>22</v>
      </c>
      <c r="K4" t="s">
        <v>48</v>
      </c>
      <c r="N4" t="s">
        <v>19</v>
      </c>
      <c r="O4" t="s">
        <v>20</v>
      </c>
      <c r="P4" t="s">
        <v>48</v>
      </c>
    </row>
    <row r="5" spans="1:16" x14ac:dyDescent="0.25">
      <c r="A5">
        <v>20</v>
      </c>
      <c r="B5" t="s">
        <v>42</v>
      </c>
      <c r="C5">
        <v>0</v>
      </c>
      <c r="D5">
        <v>9</v>
      </c>
      <c r="E5" s="1">
        <f>SUM($C$5:C5)/$C$25</f>
        <v>0</v>
      </c>
      <c r="F5" s="3">
        <f>SUM($D$5:D5)/$D$25</f>
        <v>4.7872340425531915E-2</v>
      </c>
      <c r="G5" s="3">
        <f>E5-(1-EXP(-$F$1*F5))/(1-EXP(-$F$1))</f>
        <v>-9.4623804596296907E-2</v>
      </c>
      <c r="H5" s="3">
        <f>G5^2</f>
        <v>8.9536643962781787E-3</v>
      </c>
      <c r="I5" s="1">
        <f>D5/2/$D$25</f>
        <v>2.3936170212765957E-2</v>
      </c>
      <c r="J5" s="7">
        <f>$F$1*$F$2*EXP(-$F$1*I5)/(1-EXP(-$F$1))</f>
        <v>0.11562055581950938</v>
      </c>
      <c r="K5">
        <f>(1-EXP(-$F$1*F5))/(1-EXP(-$F$1))</f>
        <v>9.4623804596296907E-2</v>
      </c>
      <c r="N5" s="1">
        <v>0</v>
      </c>
      <c r="O5" s="1">
        <v>0</v>
      </c>
      <c r="P5" s="1">
        <v>0</v>
      </c>
    </row>
    <row r="6" spans="1:16" x14ac:dyDescent="0.25">
      <c r="A6">
        <v>19</v>
      </c>
      <c r="B6" t="s">
        <v>41</v>
      </c>
      <c r="C6">
        <v>1</v>
      </c>
      <c r="D6">
        <v>10</v>
      </c>
      <c r="E6" s="1">
        <f>SUM($C$5:C6)/$C$25</f>
        <v>9.0909090909090912E-2</v>
      </c>
      <c r="F6" s="3">
        <f>SUM($D$5:D6)/$D$25</f>
        <v>0.10106382978723404</v>
      </c>
      <c r="G6" s="3">
        <f>E6-(1-EXP(-$F$1*F6))/(1-EXP(-$F$1))</f>
        <v>-0.10035430668416298</v>
      </c>
      <c r="H6" s="3">
        <f t="shared" ref="H6:H24" si="0">G6^2</f>
        <v>1.0070986870059039E-2</v>
      </c>
      <c r="I6" s="1">
        <f>(SUM($D$5:D5)+D6/2)/$D$25</f>
        <v>7.4468085106382975E-2</v>
      </c>
      <c r="J6" s="7">
        <f t="shared" ref="J6:J24" si="1">$F$1*$F$2*EXP(-$F$1*I6)/(1-EXP(-$F$1))</f>
        <v>0.10626864691599419</v>
      </c>
      <c r="K6">
        <f t="shared" ref="K6:K24" si="2">(1-EXP(-$F$1*F6))/(1-EXP(-$F$1))</f>
        <v>0.19126339759325389</v>
      </c>
      <c r="N6" s="3">
        <f>F5</f>
        <v>4.7872340425531915E-2</v>
      </c>
      <c r="O6" s="3">
        <f>E5</f>
        <v>0</v>
      </c>
      <c r="P6" s="3">
        <f>K5</f>
        <v>9.4623804596296907E-2</v>
      </c>
    </row>
    <row r="7" spans="1:16" x14ac:dyDescent="0.25">
      <c r="A7">
        <v>18</v>
      </c>
      <c r="B7" t="s">
        <v>40</v>
      </c>
      <c r="C7">
        <v>2</v>
      </c>
      <c r="D7">
        <v>10</v>
      </c>
      <c r="E7" s="1">
        <f>SUM($C$5:C7)/$C$25</f>
        <v>0.27272727272727271</v>
      </c>
      <c r="F7" s="3">
        <f>SUM($D$5:D7)/$D$25</f>
        <v>0.15425531914893617</v>
      </c>
      <c r="G7" s="3">
        <f>E7-(1-EXP(-$F$1*F7))/(1-EXP(-$F$1))</f>
        <v>-6.9656515994701573E-3</v>
      </c>
      <c r="H7" s="3">
        <f t="shared" si="0"/>
        <v>4.8520302205201161E-5</v>
      </c>
      <c r="I7" s="1">
        <f>(SUM($D$5:D6)+D7/2)/$D$25</f>
        <v>0.1276595744680851</v>
      </c>
      <c r="J7" s="7">
        <f t="shared" si="1"/>
        <v>9.7240539430722778E-2</v>
      </c>
      <c r="K7">
        <f t="shared" si="2"/>
        <v>0.27969292432674286</v>
      </c>
      <c r="N7" s="3">
        <f t="shared" ref="N7:N25" si="3">F6</f>
        <v>0.10106382978723404</v>
      </c>
      <c r="O7" s="3">
        <f t="shared" ref="O7:O25" si="4">E6</f>
        <v>9.0909090909090912E-2</v>
      </c>
      <c r="P7" s="3">
        <f t="shared" ref="P7:P25" si="5">K6</f>
        <v>0.19126339759325389</v>
      </c>
    </row>
    <row r="8" spans="1:16" x14ac:dyDescent="0.25">
      <c r="A8">
        <v>17</v>
      </c>
      <c r="B8" t="s">
        <v>39</v>
      </c>
      <c r="C8">
        <v>2</v>
      </c>
      <c r="D8">
        <v>8</v>
      </c>
      <c r="E8" s="1">
        <f>SUM($C$5:C8)/$C$25</f>
        <v>0.45454545454545453</v>
      </c>
      <c r="F8" s="3">
        <f>SUM($D$5:D8)/$D$25</f>
        <v>0.19680851063829788</v>
      </c>
      <c r="G8" s="3">
        <f t="shared" ref="G6:G24" si="6">E8-(1-EXP(-$F$1*F8))/(1-EXP(-$F$1))</f>
        <v>0.1095494100941698</v>
      </c>
      <c r="H8" s="3">
        <f t="shared" si="0"/>
        <v>1.2001073251980592E-2</v>
      </c>
      <c r="I8" s="1">
        <f>(SUM($D$5:D7)+D8/2)/$D$25</f>
        <v>0.17553191489361702</v>
      </c>
      <c r="J8" s="7">
        <f t="shared" si="1"/>
        <v>8.9772919074372029E-2</v>
      </c>
      <c r="K8">
        <f t="shared" si="2"/>
        <v>0.34499604445128473</v>
      </c>
      <c r="N8" s="3">
        <f t="shared" si="3"/>
        <v>0.15425531914893617</v>
      </c>
      <c r="O8" s="3">
        <f t="shared" si="4"/>
        <v>0.27272727272727271</v>
      </c>
      <c r="P8" s="3">
        <f t="shared" si="5"/>
        <v>0.27969292432674286</v>
      </c>
    </row>
    <row r="9" spans="1:16" x14ac:dyDescent="0.25">
      <c r="A9">
        <v>16</v>
      </c>
      <c r="B9" t="s">
        <v>38</v>
      </c>
      <c r="C9">
        <v>0</v>
      </c>
      <c r="D9">
        <v>10</v>
      </c>
      <c r="E9" s="1">
        <f>SUM($C$5:C9)/$C$25</f>
        <v>0.45454545454545453</v>
      </c>
      <c r="F9" s="3">
        <f>SUM($D$5:D9)/$D$25</f>
        <v>0.25</v>
      </c>
      <c r="G9" s="3">
        <f t="shared" si="6"/>
        <v>3.4180319341640897E-2</v>
      </c>
      <c r="H9" s="3">
        <f t="shared" si="0"/>
        <v>1.1682942302965508E-3</v>
      </c>
      <c r="I9" s="1">
        <f>(SUM($D$5:D8)+D9/2)/$D$25</f>
        <v>0.22340425531914893</v>
      </c>
      <c r="J9" s="7">
        <f t="shared" si="1"/>
        <v>8.2878777167575884E-2</v>
      </c>
      <c r="K9">
        <f t="shared" si="2"/>
        <v>0.42036513520381363</v>
      </c>
      <c r="N9" s="3">
        <f t="shared" si="3"/>
        <v>0.19680851063829788</v>
      </c>
      <c r="O9" s="3">
        <f t="shared" si="4"/>
        <v>0.45454545454545453</v>
      </c>
      <c r="P9" s="3">
        <f t="shared" si="5"/>
        <v>0.34499604445128473</v>
      </c>
    </row>
    <row r="10" spans="1:16" x14ac:dyDescent="0.25">
      <c r="A10">
        <v>15</v>
      </c>
      <c r="B10" t="s">
        <v>37</v>
      </c>
      <c r="C10">
        <v>0</v>
      </c>
      <c r="D10">
        <v>9</v>
      </c>
      <c r="E10" s="1">
        <f>SUM($C$5:C10)/$C$25</f>
        <v>0.45454545454545453</v>
      </c>
      <c r="F10" s="3">
        <f>SUM($D$5:D10)/$D$25</f>
        <v>0.2978723404255319</v>
      </c>
      <c r="G10" s="3">
        <f t="shared" si="6"/>
        <v>-2.8161401474315173E-2</v>
      </c>
      <c r="H10" s="3">
        <f t="shared" si="0"/>
        <v>7.9306453299756081E-4</v>
      </c>
      <c r="I10" s="1">
        <f>(SUM($D$5:D9)+D10/2)/$D$25</f>
        <v>0.27393617021276595</v>
      </c>
      <c r="J10" s="7">
        <f t="shared" si="1"/>
        <v>7.6175170109019252E-2</v>
      </c>
      <c r="K10">
        <f t="shared" si="2"/>
        <v>0.4827068560197697</v>
      </c>
      <c r="N10" s="3">
        <f t="shared" si="3"/>
        <v>0.25</v>
      </c>
      <c r="O10" s="3">
        <f t="shared" si="4"/>
        <v>0.45454545454545453</v>
      </c>
      <c r="P10" s="3">
        <f t="shared" si="5"/>
        <v>0.42036513520381363</v>
      </c>
    </row>
    <row r="11" spans="1:16" x14ac:dyDescent="0.25">
      <c r="A11">
        <v>14</v>
      </c>
      <c r="B11" t="s">
        <v>36</v>
      </c>
      <c r="C11">
        <v>0</v>
      </c>
      <c r="D11">
        <v>10</v>
      </c>
      <c r="E11" s="1">
        <f>SUM($C$5:C11)/$C$25</f>
        <v>0.45454545454545453</v>
      </c>
      <c r="F11" s="3">
        <f>SUM($D$5:D11)/$D$25</f>
        <v>0.35106382978723405</v>
      </c>
      <c r="G11" s="3">
        <f t="shared" si="6"/>
        <v>-9.1831199492769577E-2</v>
      </c>
      <c r="H11" s="3">
        <f t="shared" si="0"/>
        <v>8.4329692002808442E-3</v>
      </c>
      <c r="I11" s="1">
        <f>(SUM($D$5:D10)+D11/2)/$D$25</f>
        <v>0.32446808510638298</v>
      </c>
      <c r="J11" s="7">
        <f t="shared" si="1"/>
        <v>7.0013780842897805E-2</v>
      </c>
      <c r="K11">
        <f t="shared" si="2"/>
        <v>0.54637665403822411</v>
      </c>
      <c r="N11" s="3">
        <f t="shared" si="3"/>
        <v>0.2978723404255319</v>
      </c>
      <c r="O11" s="3">
        <f t="shared" si="4"/>
        <v>0.45454545454545453</v>
      </c>
      <c r="P11" s="3">
        <f t="shared" si="5"/>
        <v>0.4827068560197697</v>
      </c>
    </row>
    <row r="12" spans="1:16" x14ac:dyDescent="0.25">
      <c r="A12">
        <v>13</v>
      </c>
      <c r="B12" t="s">
        <v>35</v>
      </c>
      <c r="C12">
        <v>0</v>
      </c>
      <c r="D12">
        <v>10</v>
      </c>
      <c r="E12" s="1">
        <f>SUM($C$5:C12)/$C$25</f>
        <v>0.45454545454545453</v>
      </c>
      <c r="F12" s="3">
        <f>SUM($D$5:D12)/$D$25</f>
        <v>0.40425531914893614</v>
      </c>
      <c r="G12" s="3">
        <f t="shared" si="6"/>
        <v>-0.15009189711559606</v>
      </c>
      <c r="H12" s="3">
        <f t="shared" si="0"/>
        <v>2.2527577579758675E-2</v>
      </c>
      <c r="I12" s="1">
        <f>(SUM($D$5:D11)+D12/2)/$D$25</f>
        <v>0.37765957446808512</v>
      </c>
      <c r="J12" s="7">
        <f t="shared" si="1"/>
        <v>6.4065724127735243E-2</v>
      </c>
      <c r="K12">
        <f t="shared" si="2"/>
        <v>0.60463735166105059</v>
      </c>
      <c r="N12" s="3">
        <f t="shared" si="3"/>
        <v>0.35106382978723405</v>
      </c>
      <c r="O12" s="3">
        <f t="shared" si="4"/>
        <v>0.45454545454545453</v>
      </c>
      <c r="P12" s="3">
        <f t="shared" si="5"/>
        <v>0.54637665403822411</v>
      </c>
    </row>
    <row r="13" spans="1:16" x14ac:dyDescent="0.25">
      <c r="A13">
        <v>12</v>
      </c>
      <c r="B13" t="s">
        <v>34</v>
      </c>
      <c r="C13">
        <v>2</v>
      </c>
      <c r="D13">
        <v>8</v>
      </c>
      <c r="E13" s="1">
        <f>SUM($C$5:C13)/$C$25</f>
        <v>0.63636363636363635</v>
      </c>
      <c r="F13" s="3">
        <f>SUM($D$5:D13)/$D$25</f>
        <v>0.44680851063829785</v>
      </c>
      <c r="G13" s="3">
        <f t="shared" si="6"/>
        <v>-1.1297866572920534E-2</v>
      </c>
      <c r="H13" s="3">
        <f t="shared" si="0"/>
        <v>1.2764178909951518E-4</v>
      </c>
      <c r="I13" s="1">
        <f>(SUM($D$5:D12)+D13/2)/$D$25</f>
        <v>0.42553191489361702</v>
      </c>
      <c r="J13" s="7">
        <f t="shared" si="1"/>
        <v>5.9145775015549712E-2</v>
      </c>
      <c r="K13">
        <f t="shared" si="2"/>
        <v>0.64766150293655689</v>
      </c>
      <c r="N13" s="3">
        <f t="shared" si="3"/>
        <v>0.40425531914893614</v>
      </c>
      <c r="O13" s="3">
        <f t="shared" si="4"/>
        <v>0.45454545454545453</v>
      </c>
      <c r="P13" s="3">
        <f t="shared" si="5"/>
        <v>0.60463735166105059</v>
      </c>
    </row>
    <row r="14" spans="1:16" x14ac:dyDescent="0.25">
      <c r="A14">
        <v>11</v>
      </c>
      <c r="B14" t="s">
        <v>33</v>
      </c>
      <c r="C14">
        <v>0</v>
      </c>
      <c r="D14">
        <v>10</v>
      </c>
      <c r="E14" s="1">
        <f>SUM($C$5:C14)/$C$25</f>
        <v>0.63636363636363635</v>
      </c>
      <c r="F14" s="3">
        <f>SUM($D$5:D14)/$D$25</f>
        <v>0.5</v>
      </c>
      <c r="G14" s="3">
        <f t="shared" si="6"/>
        <v>-6.0953857831070657E-2</v>
      </c>
      <c r="H14" s="3">
        <f t="shared" si="0"/>
        <v>3.7153727844903735E-3</v>
      </c>
      <c r="I14" s="1">
        <f>(SUM($D$5:D13)+D14/2)/$D$25</f>
        <v>0.47340425531914893</v>
      </c>
      <c r="J14" s="7">
        <f t="shared" si="1"/>
        <v>5.4603655071707509E-2</v>
      </c>
      <c r="K14">
        <f t="shared" si="2"/>
        <v>0.69731749419470701</v>
      </c>
      <c r="N14" s="3">
        <f t="shared" si="3"/>
        <v>0.44680851063829785</v>
      </c>
      <c r="O14" s="3">
        <f t="shared" si="4"/>
        <v>0.63636363636363635</v>
      </c>
      <c r="P14" s="3">
        <f t="shared" si="5"/>
        <v>0.64766150293655689</v>
      </c>
    </row>
    <row r="15" spans="1:16" x14ac:dyDescent="0.25">
      <c r="A15">
        <v>10</v>
      </c>
      <c r="B15" t="s">
        <v>32</v>
      </c>
      <c r="C15">
        <v>2</v>
      </c>
      <c r="D15">
        <v>9</v>
      </c>
      <c r="E15" s="1">
        <f>SUM($C$5:C15)/$C$25</f>
        <v>0.81818181818181823</v>
      </c>
      <c r="F15" s="3">
        <f>SUM($D$5:D15)/$D$25</f>
        <v>0.5478723404255319</v>
      </c>
      <c r="G15" s="3">
        <f t="shared" si="6"/>
        <v>7.9791253940140083E-2</v>
      </c>
      <c r="H15" s="3">
        <f t="shared" si="0"/>
        <v>6.3666442053399207E-3</v>
      </c>
      <c r="I15" s="1">
        <f>(SUM($D$5:D14)+D15/2)/$D$25</f>
        <v>0.52393617021276595</v>
      </c>
      <c r="J15" s="7">
        <f t="shared" si="1"/>
        <v>5.018706665098821E-2</v>
      </c>
      <c r="K15">
        <f t="shared" si="2"/>
        <v>0.73839056424167815</v>
      </c>
      <c r="N15" s="3">
        <f t="shared" si="3"/>
        <v>0.5</v>
      </c>
      <c r="O15" s="3">
        <f t="shared" si="4"/>
        <v>0.63636363636363635</v>
      </c>
      <c r="P15" s="3">
        <f t="shared" si="5"/>
        <v>0.69731749419470701</v>
      </c>
    </row>
    <row r="16" spans="1:16" x14ac:dyDescent="0.25">
      <c r="A16">
        <v>9</v>
      </c>
      <c r="B16" t="s">
        <v>31</v>
      </c>
      <c r="C16">
        <v>0</v>
      </c>
      <c r="D16">
        <v>9</v>
      </c>
      <c r="E16" s="1">
        <f>SUM($C$5:C16)/$C$25</f>
        <v>0.81818181818181823</v>
      </c>
      <c r="F16" s="3">
        <f>SUM($D$5:D16)/$D$25</f>
        <v>0.5957446808510638</v>
      </c>
      <c r="G16" s="3">
        <f t="shared" si="6"/>
        <v>4.1872404301408372E-2</v>
      </c>
      <c r="H16" s="3">
        <f t="shared" si="0"/>
        <v>1.7532982419806024E-3</v>
      </c>
      <c r="I16" s="1">
        <f>(SUM($D$5:D15)+D16/2)/$D$25</f>
        <v>0.57180851063829785</v>
      </c>
      <c r="J16" s="7">
        <f t="shared" si="1"/>
        <v>4.6332933768318894E-2</v>
      </c>
      <c r="K16">
        <f t="shared" si="2"/>
        <v>0.77630941388040986</v>
      </c>
      <c r="N16" s="3">
        <f t="shared" si="3"/>
        <v>0.5478723404255319</v>
      </c>
      <c r="O16" s="3">
        <f t="shared" si="4"/>
        <v>0.81818181818181823</v>
      </c>
      <c r="P16" s="3">
        <f t="shared" si="5"/>
        <v>0.73839056424167815</v>
      </c>
    </row>
    <row r="17" spans="1:16" x14ac:dyDescent="0.25">
      <c r="A17">
        <v>8</v>
      </c>
      <c r="B17" t="s">
        <v>30</v>
      </c>
      <c r="C17">
        <v>1</v>
      </c>
      <c r="D17">
        <v>10</v>
      </c>
      <c r="E17" s="1">
        <f>SUM($C$5:C17)/$C$25</f>
        <v>0.90909090909090906</v>
      </c>
      <c r="F17" s="3">
        <f>SUM($D$5:D17)/$D$25</f>
        <v>0.64893617021276595</v>
      </c>
      <c r="G17" s="3">
        <f t="shared" si="6"/>
        <v>9.4054853308560005E-2</v>
      </c>
      <c r="H17" s="3">
        <f t="shared" si="0"/>
        <v>8.8463154308947405E-3</v>
      </c>
      <c r="I17" s="1">
        <f>(SUM($D$5:D16)+D17/2)/$D$25</f>
        <v>0.62234042553191493</v>
      </c>
      <c r="J17" s="7">
        <f t="shared" si="1"/>
        <v>4.2585318365826519E-2</v>
      </c>
      <c r="K17">
        <f t="shared" si="2"/>
        <v>0.81503605578234906</v>
      </c>
      <c r="N17" s="3">
        <f t="shared" si="3"/>
        <v>0.5957446808510638</v>
      </c>
      <c r="O17" s="3">
        <f t="shared" si="4"/>
        <v>0.81818181818181823</v>
      </c>
      <c r="P17" s="3">
        <f t="shared" si="5"/>
        <v>0.77630941388040986</v>
      </c>
    </row>
    <row r="18" spans="1:16" x14ac:dyDescent="0.25">
      <c r="A18">
        <v>7</v>
      </c>
      <c r="B18" t="s">
        <v>29</v>
      </c>
      <c r="C18">
        <v>0</v>
      </c>
      <c r="D18">
        <v>9</v>
      </c>
      <c r="E18" s="1">
        <f>SUM($C$5:C18)/$C$25</f>
        <v>0.90909090909090906</v>
      </c>
      <c r="F18" s="3">
        <f>SUM($D$5:D18)/$D$25</f>
        <v>0.69680851063829785</v>
      </c>
      <c r="G18" s="3">
        <f t="shared" si="6"/>
        <v>6.2022020306535475E-2</v>
      </c>
      <c r="H18" s="3">
        <f t="shared" si="0"/>
        <v>3.8467310029042987E-3</v>
      </c>
      <c r="I18" s="1">
        <f>(SUM($D$5:D17)+D18/2)/$D$25</f>
        <v>0.6728723404255319</v>
      </c>
      <c r="J18" s="7">
        <f t="shared" si="1"/>
        <v>3.9140826898356844E-2</v>
      </c>
      <c r="K18">
        <f t="shared" si="2"/>
        <v>0.84706888878437359</v>
      </c>
      <c r="N18" s="3">
        <f t="shared" si="3"/>
        <v>0.64893617021276595</v>
      </c>
      <c r="O18" s="3">
        <f t="shared" si="4"/>
        <v>0.90909090909090906</v>
      </c>
      <c r="P18" s="3">
        <f t="shared" si="5"/>
        <v>0.81503605578234906</v>
      </c>
    </row>
    <row r="19" spans="1:16" x14ac:dyDescent="0.25">
      <c r="A19">
        <v>6</v>
      </c>
      <c r="B19" t="s">
        <v>28</v>
      </c>
      <c r="C19">
        <v>0</v>
      </c>
      <c r="D19">
        <v>10</v>
      </c>
      <c r="E19" s="1">
        <f>SUM($C$5:C19)/$C$25</f>
        <v>0.90909090909090906</v>
      </c>
      <c r="F19" s="3">
        <f>SUM($D$5:D19)/$D$25</f>
        <v>0.75</v>
      </c>
      <c r="G19" s="3">
        <f t="shared" si="6"/>
        <v>2.9306785941753954E-2</v>
      </c>
      <c r="H19" s="3">
        <f t="shared" si="0"/>
        <v>8.5888770223578723E-4</v>
      </c>
      <c r="I19" s="1">
        <f>(SUM($D$5:D18)+D19/2)/$D$25</f>
        <v>0.72340425531914898</v>
      </c>
      <c r="J19" s="7">
        <f t="shared" si="1"/>
        <v>3.5974941343083232E-2</v>
      </c>
      <c r="K19">
        <f t="shared" si="2"/>
        <v>0.87978412314915511</v>
      </c>
      <c r="N19" s="3">
        <f t="shared" si="3"/>
        <v>0.69680851063829785</v>
      </c>
      <c r="O19" s="3">
        <f t="shared" si="4"/>
        <v>0.90909090909090906</v>
      </c>
      <c r="P19" s="3">
        <f t="shared" si="5"/>
        <v>0.84706888878437359</v>
      </c>
    </row>
    <row r="20" spans="1:16" x14ac:dyDescent="0.25">
      <c r="A20">
        <v>5</v>
      </c>
      <c r="B20" t="s">
        <v>27</v>
      </c>
      <c r="C20">
        <v>1</v>
      </c>
      <c r="D20">
        <v>9</v>
      </c>
      <c r="E20" s="1">
        <f>SUM($C$5:C20)/$C$25</f>
        <v>1</v>
      </c>
      <c r="F20" s="3">
        <f>SUM($D$5:D20)/$D$25</f>
        <v>0.7978723404255319</v>
      </c>
      <c r="G20" s="3">
        <f t="shared" si="6"/>
        <v>9.3155393742531123E-2</v>
      </c>
      <c r="H20" s="3">
        <f t="shared" si="0"/>
        <v>8.6779273833260066E-3</v>
      </c>
      <c r="I20" s="1">
        <f>(SUM($D$5:D19)+D20/2)/$D$25</f>
        <v>0.77393617021276595</v>
      </c>
      <c r="J20" s="7">
        <f t="shared" si="1"/>
        <v>3.3065126804784253E-2</v>
      </c>
      <c r="K20">
        <f t="shared" si="2"/>
        <v>0.90684460625746888</v>
      </c>
      <c r="N20" s="3">
        <f t="shared" si="3"/>
        <v>0.75</v>
      </c>
      <c r="O20" s="3">
        <f t="shared" si="4"/>
        <v>0.90909090909090906</v>
      </c>
      <c r="P20" s="3">
        <f t="shared" si="5"/>
        <v>0.87978412314915511</v>
      </c>
    </row>
    <row r="21" spans="1:16" x14ac:dyDescent="0.25">
      <c r="A21">
        <v>4</v>
      </c>
      <c r="B21" t="s">
        <v>26</v>
      </c>
      <c r="C21">
        <v>0</v>
      </c>
      <c r="D21">
        <v>9</v>
      </c>
      <c r="E21" s="1">
        <f>SUM($C$5:C21)/$C$25</f>
        <v>1</v>
      </c>
      <c r="F21" s="3">
        <f>SUM($D$5:D21)/$D$25</f>
        <v>0.8457446808510638</v>
      </c>
      <c r="G21" s="3">
        <f t="shared" si="6"/>
        <v>6.8173029654281958E-2</v>
      </c>
      <c r="H21" s="3">
        <f t="shared" si="0"/>
        <v>4.6475619722436074E-3</v>
      </c>
      <c r="I21" s="1">
        <f>(SUM($D$5:D20)+D21/2)/$D$25</f>
        <v>0.82180851063829785</v>
      </c>
      <c r="J21" s="7">
        <f t="shared" si="1"/>
        <v>3.0525879126210471E-2</v>
      </c>
      <c r="K21">
        <f t="shared" si="2"/>
        <v>0.93182697034571804</v>
      </c>
      <c r="N21" s="3">
        <f t="shared" si="3"/>
        <v>0.7978723404255319</v>
      </c>
      <c r="O21" s="3">
        <f t="shared" si="4"/>
        <v>1</v>
      </c>
      <c r="P21" s="3">
        <f t="shared" si="5"/>
        <v>0.90684460625746888</v>
      </c>
    </row>
    <row r="22" spans="1:16" x14ac:dyDescent="0.25">
      <c r="A22">
        <v>3</v>
      </c>
      <c r="B22" t="s">
        <v>25</v>
      </c>
      <c r="C22">
        <v>0</v>
      </c>
      <c r="D22">
        <v>10</v>
      </c>
      <c r="E22" s="1">
        <f>SUM($C$5:C22)/$C$25</f>
        <v>1</v>
      </c>
      <c r="F22" s="3">
        <f>SUM($D$5:D22)/$D$25</f>
        <v>0.89893617021276595</v>
      </c>
      <c r="G22" s="3">
        <f t="shared" si="6"/>
        <v>4.26584616458352E-2</v>
      </c>
      <c r="H22" s="3">
        <f t="shared" si="0"/>
        <v>1.8197443499891927E-3</v>
      </c>
      <c r="I22" s="1">
        <f>(SUM($D$5:D21)+D22/2)/$D$25</f>
        <v>0.87234042553191493</v>
      </c>
      <c r="J22" s="7">
        <f t="shared" si="1"/>
        <v>2.8056809169189324E-2</v>
      </c>
      <c r="K22">
        <f t="shared" si="2"/>
        <v>0.9573415383541648</v>
      </c>
      <c r="N22" s="3">
        <f t="shared" si="3"/>
        <v>0.8457446808510638</v>
      </c>
      <c r="O22" s="3">
        <f t="shared" si="4"/>
        <v>1</v>
      </c>
      <c r="P22" s="3">
        <f t="shared" si="5"/>
        <v>0.93182697034571804</v>
      </c>
    </row>
    <row r="23" spans="1:16" x14ac:dyDescent="0.25">
      <c r="A23">
        <v>2</v>
      </c>
      <c r="B23" t="s">
        <v>24</v>
      </c>
      <c r="C23">
        <v>0</v>
      </c>
      <c r="D23">
        <v>9</v>
      </c>
      <c r="E23" s="1">
        <f>SUM($C$5:C23)/$C$25</f>
        <v>1</v>
      </c>
      <c r="F23" s="3">
        <f>SUM($D$5:D23)/$D$25</f>
        <v>0.94680851063829785</v>
      </c>
      <c r="G23" s="3">
        <f t="shared" si="6"/>
        <v>2.1554026662732539E-2</v>
      </c>
      <c r="H23" s="3">
        <f t="shared" si="0"/>
        <v>4.6457606537778524E-4</v>
      </c>
      <c r="I23" s="1">
        <f>(SUM($D$5:D22)+D23/2)/$D$25</f>
        <v>0.9228723404255319</v>
      </c>
      <c r="J23" s="7">
        <f t="shared" si="1"/>
        <v>2.5787448659599949E-2</v>
      </c>
      <c r="K23">
        <f t="shared" si="2"/>
        <v>0.97844597333726746</v>
      </c>
      <c r="N23" s="3">
        <f t="shared" si="3"/>
        <v>0.89893617021276595</v>
      </c>
      <c r="O23" s="3">
        <f t="shared" si="4"/>
        <v>1</v>
      </c>
      <c r="P23" s="3">
        <f t="shared" si="5"/>
        <v>0.9573415383541648</v>
      </c>
    </row>
    <row r="24" spans="1:16" x14ac:dyDescent="0.25">
      <c r="A24">
        <v>1</v>
      </c>
      <c r="B24" t="s">
        <v>23</v>
      </c>
      <c r="C24">
        <v>0</v>
      </c>
      <c r="D24">
        <v>10</v>
      </c>
      <c r="E24" s="1">
        <f>SUM($C$5:C24)/$C$25</f>
        <v>1</v>
      </c>
      <c r="F24" s="3">
        <f>SUM($D$5:D24)/$D$25</f>
        <v>1</v>
      </c>
      <c r="G24" s="3">
        <f t="shared" si="6"/>
        <v>0</v>
      </c>
      <c r="H24" s="3">
        <f t="shared" si="0"/>
        <v>0</v>
      </c>
      <c r="I24" s="1">
        <f>(SUM($D$5:D23)+D24/2)/$D$25</f>
        <v>0.97340425531914898</v>
      </c>
      <c r="J24" s="7">
        <f t="shared" si="1"/>
        <v>2.3701644201998814E-2</v>
      </c>
      <c r="K24">
        <f t="shared" si="2"/>
        <v>1</v>
      </c>
      <c r="N24" s="3">
        <f t="shared" si="3"/>
        <v>0.94680851063829785</v>
      </c>
      <c r="O24" s="3">
        <f t="shared" si="4"/>
        <v>1</v>
      </c>
      <c r="P24" s="3">
        <f t="shared" si="5"/>
        <v>0.97844597333726746</v>
      </c>
    </row>
    <row r="25" spans="1:16" x14ac:dyDescent="0.25">
      <c r="C25">
        <f>SUM(C5:C24)</f>
        <v>11</v>
      </c>
      <c r="D25">
        <f>SUM(D5:D24)</f>
        <v>188</v>
      </c>
      <c r="F25" s="3"/>
      <c r="G25" s="3"/>
      <c r="H25" s="3">
        <f>SUM(H5:H24)</f>
        <v>0.10512085129173847</v>
      </c>
      <c r="N25" s="3">
        <f t="shared" si="3"/>
        <v>1</v>
      </c>
      <c r="O25" s="3">
        <f t="shared" si="4"/>
        <v>1</v>
      </c>
      <c r="P25" s="3">
        <f t="shared" si="5"/>
        <v>1</v>
      </c>
    </row>
    <row r="33" spans="1:3" x14ac:dyDescent="0.25">
      <c r="A33" t="s">
        <v>46</v>
      </c>
      <c r="B33" t="s">
        <v>45</v>
      </c>
      <c r="C33" t="s">
        <v>18</v>
      </c>
    </row>
    <row r="34" spans="1:3" x14ac:dyDescent="0.25">
      <c r="A34">
        <v>20</v>
      </c>
      <c r="B34" t="s">
        <v>42</v>
      </c>
      <c r="C34">
        <v>0</v>
      </c>
    </row>
    <row r="35" spans="1:3" x14ac:dyDescent="0.25">
      <c r="A35">
        <v>19</v>
      </c>
      <c r="B35" t="s">
        <v>41</v>
      </c>
      <c r="C35">
        <v>1</v>
      </c>
    </row>
    <row r="36" spans="1:3" x14ac:dyDescent="0.25">
      <c r="A36">
        <v>18</v>
      </c>
      <c r="B36" t="s">
        <v>40</v>
      </c>
      <c r="C36">
        <v>2</v>
      </c>
    </row>
    <row r="37" spans="1:3" x14ac:dyDescent="0.25">
      <c r="A37">
        <v>17</v>
      </c>
      <c r="B37" t="s">
        <v>39</v>
      </c>
      <c r="C37">
        <v>2</v>
      </c>
    </row>
    <row r="38" spans="1:3" x14ac:dyDescent="0.25">
      <c r="A38">
        <v>16</v>
      </c>
      <c r="B38" t="s">
        <v>38</v>
      </c>
      <c r="C38">
        <v>0</v>
      </c>
    </row>
    <row r="39" spans="1:3" x14ac:dyDescent="0.25">
      <c r="A39">
        <v>15</v>
      </c>
      <c r="B39" t="s">
        <v>37</v>
      </c>
      <c r="C39">
        <v>0</v>
      </c>
    </row>
    <row r="40" spans="1:3" x14ac:dyDescent="0.25">
      <c r="A40">
        <v>14</v>
      </c>
      <c r="B40" t="s">
        <v>36</v>
      </c>
      <c r="C40">
        <v>0</v>
      </c>
    </row>
    <row r="41" spans="1:3" x14ac:dyDescent="0.25">
      <c r="A41">
        <v>13</v>
      </c>
      <c r="B41" t="s">
        <v>35</v>
      </c>
      <c r="C41">
        <v>0</v>
      </c>
    </row>
    <row r="42" spans="1:3" x14ac:dyDescent="0.25">
      <c r="A42">
        <v>12</v>
      </c>
      <c r="B42" t="s">
        <v>34</v>
      </c>
      <c r="C42">
        <v>2</v>
      </c>
    </row>
    <row r="43" spans="1:3" x14ac:dyDescent="0.25">
      <c r="A43">
        <v>11</v>
      </c>
      <c r="B43" t="s">
        <v>33</v>
      </c>
      <c r="C43">
        <v>0</v>
      </c>
    </row>
    <row r="44" spans="1:3" x14ac:dyDescent="0.25">
      <c r="A44">
        <v>10</v>
      </c>
      <c r="B44" t="s">
        <v>32</v>
      </c>
      <c r="C44">
        <v>2</v>
      </c>
    </row>
    <row r="45" spans="1:3" x14ac:dyDescent="0.25">
      <c r="A45">
        <v>9</v>
      </c>
      <c r="B45" t="s">
        <v>31</v>
      </c>
      <c r="C45">
        <v>0</v>
      </c>
    </row>
    <row r="46" spans="1:3" x14ac:dyDescent="0.25">
      <c r="A46">
        <v>8</v>
      </c>
      <c r="B46" t="s">
        <v>30</v>
      </c>
      <c r="C46">
        <v>1</v>
      </c>
    </row>
    <row r="47" spans="1:3" x14ac:dyDescent="0.25">
      <c r="A47">
        <v>7</v>
      </c>
      <c r="B47" t="s">
        <v>29</v>
      </c>
      <c r="C47">
        <v>0</v>
      </c>
    </row>
    <row r="48" spans="1:3" x14ac:dyDescent="0.25">
      <c r="A48">
        <v>6</v>
      </c>
      <c r="B48" t="s">
        <v>28</v>
      </c>
      <c r="C48">
        <v>0</v>
      </c>
    </row>
    <row r="49" spans="1:3" x14ac:dyDescent="0.25">
      <c r="A49">
        <v>5</v>
      </c>
      <c r="B49" t="s">
        <v>27</v>
      </c>
      <c r="C49">
        <v>1</v>
      </c>
    </row>
    <row r="50" spans="1:3" x14ac:dyDescent="0.25">
      <c r="A50">
        <v>4</v>
      </c>
      <c r="B50" t="s">
        <v>26</v>
      </c>
      <c r="C50">
        <v>0</v>
      </c>
    </row>
    <row r="51" spans="1:3" x14ac:dyDescent="0.25">
      <c r="A51">
        <v>3</v>
      </c>
      <c r="B51" t="s">
        <v>25</v>
      </c>
      <c r="C51">
        <v>0</v>
      </c>
    </row>
    <row r="52" spans="1:3" x14ac:dyDescent="0.25">
      <c r="A52">
        <v>2</v>
      </c>
      <c r="B52" t="s">
        <v>24</v>
      </c>
      <c r="C52">
        <v>0</v>
      </c>
    </row>
    <row r="53" spans="1:3" x14ac:dyDescent="0.25">
      <c r="A53">
        <v>1</v>
      </c>
      <c r="B53" t="s">
        <v>23</v>
      </c>
      <c r="C53">
        <v>0</v>
      </c>
    </row>
  </sheetData>
  <sortState ref="A34:C53">
    <sortCondition descending="1" ref="A34:A5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36</vt:lpstr>
      <vt:lpstr>11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9Slide</dc:creator>
  <cp:lastModifiedBy>Long Pham Hoang (RMD - IRMD)</cp:lastModifiedBy>
  <dcterms:created xsi:type="dcterms:W3CDTF">2018-06-14T01:03:09Z</dcterms:created>
  <dcterms:modified xsi:type="dcterms:W3CDTF">2018-11-29T01:45:13Z</dcterms:modified>
</cp:coreProperties>
</file>
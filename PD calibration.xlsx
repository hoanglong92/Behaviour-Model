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ongph4.VPBANK\Desktop\Validation Coporate model\PD Calibration\"/>
    </mc:Choice>
  </mc:AlternateContent>
  <bookViews>
    <workbookView xWindow="0" yWindow="0" windowWidth="20490" windowHeight="8340" tabRatio="793" firstSheet="2" activeTab="2"/>
  </bookViews>
  <sheets>
    <sheet name="TTC_PD" sheetId="1" r:id="rId1"/>
    <sheet name="Sheet3" sheetId="3" state="hidden" r:id="rId2"/>
    <sheet name="PD Calibration" sheetId="2" r:id="rId3"/>
    <sheet name="World bank" sheetId="4" state="hidden" r:id="rId4"/>
    <sheet name="IMF_Downturn frequency" sheetId="5" r:id="rId5"/>
  </sheets>
  <definedNames>
    <definedName name="solver_adj" localSheetId="2" hidden="1">'PD Calibration'!$U$2:$U$3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'PD Calibration'!$T$12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52511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5" i="2"/>
  <c r="Q6" i="2"/>
  <c r="Q7" i="2"/>
  <c r="Q5" i="2"/>
  <c r="P11" i="2"/>
  <c r="P5" i="2"/>
  <c r="O5" i="2"/>
  <c r="H5" i="2" l="1"/>
  <c r="S5" i="2" l="1"/>
  <c r="T5" i="2"/>
  <c r="U5" i="2"/>
  <c r="U10" i="2"/>
  <c r="U11" i="2"/>
  <c r="D62" i="2" l="1"/>
  <c r="C62" i="2"/>
  <c r="M72" i="2"/>
  <c r="B45" i="2"/>
  <c r="C43" i="2"/>
  <c r="B43" i="2"/>
  <c r="C44" i="2"/>
  <c r="Q38" i="1"/>
  <c r="T11" i="2"/>
  <c r="T10" i="2"/>
  <c r="T9" i="2"/>
  <c r="N5" i="2" l="1"/>
  <c r="M5" i="2"/>
  <c r="J11" i="2"/>
  <c r="R32" i="1"/>
  <c r="Q35" i="1"/>
  <c r="N6" i="2"/>
  <c r="N7" i="2"/>
  <c r="N8" i="2"/>
  <c r="N9" i="2"/>
  <c r="N10" i="2"/>
  <c r="N11" i="2"/>
  <c r="I31" i="5" l="1"/>
  <c r="Q32" i="1"/>
  <c r="Q34" i="1"/>
  <c r="Q33" i="1"/>
  <c r="M73" i="2" l="1"/>
  <c r="M74" i="2"/>
  <c r="M75" i="2"/>
  <c r="M76" i="2"/>
  <c r="M77" i="2"/>
  <c r="M78" i="2"/>
  <c r="E63" i="2"/>
  <c r="E62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C63" i="2"/>
  <c r="C64" i="2"/>
  <c r="C65" i="2"/>
  <c r="D65" i="2" s="1"/>
  <c r="C66" i="2"/>
  <c r="D66" i="2" s="1"/>
  <c r="C67" i="2"/>
  <c r="C68" i="2"/>
  <c r="C69" i="2"/>
  <c r="C70" i="2"/>
  <c r="D70" i="2" s="1"/>
  <c r="C71" i="2"/>
  <c r="C72" i="2"/>
  <c r="C73" i="2"/>
  <c r="C74" i="2"/>
  <c r="D74" i="2" s="1"/>
  <c r="C75" i="2"/>
  <c r="C76" i="2"/>
  <c r="C77" i="2"/>
  <c r="D77" i="2" s="1"/>
  <c r="C78" i="2"/>
  <c r="D78" i="2" s="1"/>
  <c r="C79" i="2"/>
  <c r="C80" i="2"/>
  <c r="C81" i="2"/>
  <c r="C82" i="2"/>
  <c r="C83" i="2"/>
  <c r="C84" i="2"/>
  <c r="D84" i="2" s="1"/>
  <c r="C85" i="2"/>
  <c r="D85" i="2" s="1"/>
  <c r="C86" i="2"/>
  <c r="D86" i="2" s="1"/>
  <c r="C87" i="2"/>
  <c r="C88" i="2"/>
  <c r="C89" i="2"/>
  <c r="C90" i="2"/>
  <c r="C91" i="2"/>
  <c r="C92" i="2"/>
  <c r="C93" i="2"/>
  <c r="C94" i="2"/>
  <c r="C95" i="2"/>
  <c r="C96" i="2"/>
  <c r="C97" i="2"/>
  <c r="D97" i="2" s="1"/>
  <c r="C98" i="2"/>
  <c r="D98" i="2" s="1"/>
  <c r="C99" i="2"/>
  <c r="C100" i="2"/>
  <c r="C101" i="2"/>
  <c r="D101" i="2" s="1"/>
  <c r="C102" i="2"/>
  <c r="D102" i="2" s="1"/>
  <c r="C103" i="2"/>
  <c r="C104" i="2"/>
  <c r="C105" i="2"/>
  <c r="C106" i="2"/>
  <c r="D106" i="2" s="1"/>
  <c r="C107" i="2"/>
  <c r="C108" i="2"/>
  <c r="C109" i="2"/>
  <c r="D109" i="2" s="1"/>
  <c r="C110" i="2"/>
  <c r="D110" i="2" s="1"/>
  <c r="C111" i="2"/>
  <c r="C112" i="2"/>
  <c r="C113" i="2"/>
  <c r="C114" i="2"/>
  <c r="D114" i="2" s="1"/>
  <c r="C115" i="2"/>
  <c r="C116" i="2"/>
  <c r="D116" i="2" s="1"/>
  <c r="C117" i="2"/>
  <c r="D117" i="2" s="1"/>
  <c r="C118" i="2"/>
  <c r="D118" i="2" s="1"/>
  <c r="C119" i="2"/>
  <c r="C120" i="2"/>
  <c r="C121" i="2"/>
  <c r="D121" i="2" s="1"/>
  <c r="C122" i="2"/>
  <c r="C123" i="2"/>
  <c r="C124" i="2"/>
  <c r="D124" i="2" s="1"/>
  <c r="C125" i="2"/>
  <c r="D125" i="2" s="1"/>
  <c r="C126" i="2"/>
  <c r="D126" i="2" s="1"/>
  <c r="C127" i="2"/>
  <c r="C128" i="2"/>
  <c r="C129" i="2"/>
  <c r="D129" i="2" s="1"/>
  <c r="C130" i="2"/>
  <c r="D130" i="2" s="1"/>
  <c r="C131" i="2"/>
  <c r="C132" i="2"/>
  <c r="C133" i="2"/>
  <c r="C134" i="2"/>
  <c r="D134" i="2" s="1"/>
  <c r="C135" i="2"/>
  <c r="C136" i="2"/>
  <c r="C137" i="2"/>
  <c r="C138" i="2"/>
  <c r="D138" i="2" s="1"/>
  <c r="C139" i="2"/>
  <c r="C140" i="2"/>
  <c r="C141" i="2"/>
  <c r="D141" i="2" s="1"/>
  <c r="C142" i="2"/>
  <c r="D142" i="2" s="1"/>
  <c r="C143" i="2"/>
  <c r="C144" i="2"/>
  <c r="C145" i="2"/>
  <c r="C146" i="2"/>
  <c r="C147" i="2"/>
  <c r="C148" i="2"/>
  <c r="D148" i="2" s="1"/>
  <c r="C149" i="2"/>
  <c r="D149" i="2" s="1"/>
  <c r="C150" i="2"/>
  <c r="D150" i="2" s="1"/>
  <c r="C151" i="2"/>
  <c r="C152" i="2"/>
  <c r="C153" i="2"/>
  <c r="C154" i="2"/>
  <c r="C155" i="2"/>
  <c r="C156" i="2"/>
  <c r="C157" i="2"/>
  <c r="C158" i="2"/>
  <c r="C159" i="2"/>
  <c r="C160" i="2"/>
  <c r="C161" i="2"/>
  <c r="D161" i="2" s="1"/>
  <c r="C162" i="2"/>
  <c r="D162" i="2" s="1"/>
  <c r="C163" i="2"/>
  <c r="C164" i="2"/>
  <c r="C165" i="2"/>
  <c r="D165" i="2" s="1"/>
  <c r="C166" i="2"/>
  <c r="D166" i="2" s="1"/>
  <c r="C167" i="2"/>
  <c r="C168" i="2"/>
  <c r="C169" i="2"/>
  <c r="C170" i="2"/>
  <c r="D170" i="2" s="1"/>
  <c r="C171" i="2"/>
  <c r="C172" i="2"/>
  <c r="C173" i="2"/>
  <c r="D173" i="2" s="1"/>
  <c r="C174" i="2"/>
  <c r="D174" i="2" s="1"/>
  <c r="C175" i="2"/>
  <c r="C176" i="2"/>
  <c r="C177" i="2"/>
  <c r="C178" i="2"/>
  <c r="D178" i="2" s="1"/>
  <c r="C179" i="2"/>
  <c r="C180" i="2"/>
  <c r="D180" i="2" s="1"/>
  <c r="C181" i="2"/>
  <c r="D181" i="2" s="1"/>
  <c r="C182" i="2"/>
  <c r="D182" i="2" s="1"/>
  <c r="C183" i="2"/>
  <c r="C184" i="2"/>
  <c r="C185" i="2"/>
  <c r="D185" i="2" s="1"/>
  <c r="C186" i="2"/>
  <c r="C187" i="2"/>
  <c r="C188" i="2"/>
  <c r="D188" i="2" s="1"/>
  <c r="C189" i="2"/>
  <c r="D189" i="2" s="1"/>
  <c r="C190" i="2"/>
  <c r="D190" i="2" s="1"/>
  <c r="C191" i="2"/>
  <c r="C192" i="2"/>
  <c r="C193" i="2"/>
  <c r="D193" i="2" s="1"/>
  <c r="C194" i="2"/>
  <c r="D194" i="2" s="1"/>
  <c r="C195" i="2"/>
  <c r="C196" i="2"/>
  <c r="C197" i="2"/>
  <c r="C198" i="2"/>
  <c r="D198" i="2" s="1"/>
  <c r="C199" i="2"/>
  <c r="C200" i="2"/>
  <c r="C201" i="2"/>
  <c r="C202" i="2"/>
  <c r="D202" i="2" s="1"/>
  <c r="C203" i="2"/>
  <c r="C204" i="2"/>
  <c r="C205" i="2"/>
  <c r="D205" i="2" s="1"/>
  <c r="C206" i="2"/>
  <c r="D206" i="2" s="1"/>
  <c r="C207" i="2"/>
  <c r="C208" i="2"/>
  <c r="C209" i="2"/>
  <c r="C210" i="2"/>
  <c r="C211" i="2"/>
  <c r="C212" i="2"/>
  <c r="C213" i="2"/>
  <c r="D213" i="2" s="1"/>
  <c r="C214" i="2"/>
  <c r="D214" i="2" s="1"/>
  <c r="C215" i="2"/>
  <c r="C216" i="2"/>
  <c r="C217" i="2"/>
  <c r="C218" i="2"/>
  <c r="C219" i="2"/>
  <c r="C220" i="2"/>
  <c r="C221" i="2"/>
  <c r="D221" i="2" s="1"/>
  <c r="C222" i="2"/>
  <c r="D222" i="2" s="1"/>
  <c r="C223" i="2"/>
  <c r="C224" i="2"/>
  <c r="C225" i="2"/>
  <c r="C226" i="2"/>
  <c r="C227" i="2"/>
  <c r="C228" i="2"/>
  <c r="C229" i="2"/>
  <c r="D229" i="2" s="1"/>
  <c r="C230" i="2"/>
  <c r="D230" i="2" s="1"/>
  <c r="C231" i="2"/>
  <c r="C232" i="2"/>
  <c r="C233" i="2"/>
  <c r="C234" i="2"/>
  <c r="C235" i="2"/>
  <c r="C236" i="2"/>
  <c r="C237" i="2"/>
  <c r="D237" i="2" s="1"/>
  <c r="C238" i="2"/>
  <c r="D238" i="2" s="1"/>
  <c r="C239" i="2"/>
  <c r="C240" i="2"/>
  <c r="C241" i="2"/>
  <c r="C242" i="2"/>
  <c r="C243" i="2"/>
  <c r="C244" i="2"/>
  <c r="C245" i="2"/>
  <c r="D245" i="2" s="1"/>
  <c r="C246" i="2"/>
  <c r="D246" i="2" s="1"/>
  <c r="C247" i="2"/>
  <c r="C248" i="2"/>
  <c r="C249" i="2"/>
  <c r="D67" i="2"/>
  <c r="D68" i="2"/>
  <c r="D69" i="2"/>
  <c r="D75" i="2"/>
  <c r="D76" i="2"/>
  <c r="D82" i="2"/>
  <c r="D83" i="2"/>
  <c r="D90" i="2"/>
  <c r="D91" i="2"/>
  <c r="D92" i="2"/>
  <c r="D93" i="2"/>
  <c r="D94" i="2"/>
  <c r="D99" i="2"/>
  <c r="D100" i="2"/>
  <c r="D107" i="2"/>
  <c r="D108" i="2"/>
  <c r="D115" i="2"/>
  <c r="D122" i="2"/>
  <c r="D123" i="2"/>
  <c r="D131" i="2"/>
  <c r="D132" i="2"/>
  <c r="D133" i="2"/>
  <c r="D139" i="2"/>
  <c r="D140" i="2"/>
  <c r="D146" i="2"/>
  <c r="D147" i="2"/>
  <c r="D154" i="2"/>
  <c r="D155" i="2"/>
  <c r="D156" i="2"/>
  <c r="D157" i="2"/>
  <c r="D158" i="2"/>
  <c r="D163" i="2"/>
  <c r="D164" i="2"/>
  <c r="D171" i="2"/>
  <c r="D172" i="2"/>
  <c r="D179" i="2"/>
  <c r="D186" i="2"/>
  <c r="D187" i="2"/>
  <c r="D195" i="2"/>
  <c r="D196" i="2"/>
  <c r="D197" i="2"/>
  <c r="D203" i="2"/>
  <c r="D204" i="2"/>
  <c r="D211" i="2"/>
  <c r="D212" i="2"/>
  <c r="D219" i="2"/>
  <c r="D220" i="2"/>
  <c r="D227" i="2"/>
  <c r="D228" i="2"/>
  <c r="D235" i="2"/>
  <c r="D236" i="2"/>
  <c r="D243" i="2"/>
  <c r="D244" i="2"/>
  <c r="D63" i="2"/>
  <c r="D64" i="2"/>
  <c r="D71" i="2"/>
  <c r="D72" i="2"/>
  <c r="D73" i="2"/>
  <c r="D79" i="2"/>
  <c r="D80" i="2"/>
  <c r="D81" i="2"/>
  <c r="D87" i="2"/>
  <c r="D88" i="2"/>
  <c r="D89" i="2"/>
  <c r="D95" i="2"/>
  <c r="D96" i="2"/>
  <c r="D103" i="2"/>
  <c r="D104" i="2"/>
  <c r="D105" i="2"/>
  <c r="D111" i="2"/>
  <c r="D112" i="2"/>
  <c r="D113" i="2"/>
  <c r="D119" i="2"/>
  <c r="D120" i="2"/>
  <c r="D127" i="2"/>
  <c r="D128" i="2"/>
  <c r="D135" i="2"/>
  <c r="D136" i="2"/>
  <c r="D137" i="2"/>
  <c r="D143" i="2"/>
  <c r="D144" i="2"/>
  <c r="D145" i="2"/>
  <c r="D151" i="2"/>
  <c r="D152" i="2"/>
  <c r="D153" i="2"/>
  <c r="D159" i="2"/>
  <c r="D160" i="2"/>
  <c r="D167" i="2"/>
  <c r="D168" i="2"/>
  <c r="D169" i="2"/>
  <c r="D175" i="2"/>
  <c r="D176" i="2"/>
  <c r="D177" i="2"/>
  <c r="D183" i="2"/>
  <c r="D184" i="2"/>
  <c r="D191" i="2"/>
  <c r="D192" i="2"/>
  <c r="D199" i="2"/>
  <c r="D200" i="2"/>
  <c r="D201" i="2"/>
  <c r="D207" i="2"/>
  <c r="D208" i="2"/>
  <c r="D209" i="2"/>
  <c r="D210" i="2"/>
  <c r="D215" i="2"/>
  <c r="D216" i="2"/>
  <c r="D217" i="2"/>
  <c r="D218" i="2"/>
  <c r="D223" i="2"/>
  <c r="D224" i="2"/>
  <c r="D225" i="2"/>
  <c r="D226" i="2"/>
  <c r="D231" i="2"/>
  <c r="D232" i="2"/>
  <c r="D233" i="2"/>
  <c r="D234" i="2"/>
  <c r="D239" i="2"/>
  <c r="D240" i="2"/>
  <c r="D241" i="2"/>
  <c r="D242" i="2"/>
  <c r="D247" i="2"/>
  <c r="D248" i="2"/>
  <c r="D249" i="2"/>
  <c r="B44" i="2"/>
  <c r="U6" i="2"/>
  <c r="U7" i="2"/>
  <c r="U8" i="2"/>
  <c r="U9" i="2"/>
  <c r="H6" i="2"/>
  <c r="I5" i="2"/>
  <c r="G5" i="2"/>
  <c r="H11" i="2"/>
  <c r="C12" i="2"/>
  <c r="K5" i="2"/>
  <c r="J5" i="2"/>
  <c r="G12" i="2" l="1"/>
  <c r="J10" i="2"/>
  <c r="F12" i="2"/>
  <c r="E12" i="2"/>
  <c r="D12" i="2"/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" i="1"/>
  <c r="I30" i="5"/>
  <c r="D45" i="1"/>
  <c r="E45" i="1"/>
  <c r="F45" i="1"/>
  <c r="C45" i="1"/>
  <c r="Q17" i="2" l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16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17" i="2"/>
  <c r="P16" i="2"/>
  <c r="O6" i="2"/>
  <c r="O7" i="2"/>
  <c r="O8" i="2"/>
  <c r="O9" i="2"/>
  <c r="O10" i="2"/>
  <c r="O11" i="2"/>
  <c r="K6" i="2"/>
  <c r="K7" i="2"/>
  <c r="K8" i="2"/>
  <c r="K9" i="2"/>
  <c r="K10" i="2"/>
  <c r="K11" i="2"/>
  <c r="J6" i="2"/>
  <c r="J7" i="2"/>
  <c r="J8" i="2"/>
  <c r="J9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O16" i="2"/>
  <c r="M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K16" i="2"/>
  <c r="J16" i="2"/>
  <c r="G10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" i="3"/>
  <c r="H16" i="2"/>
  <c r="I35" i="2"/>
  <c r="H35" i="2"/>
  <c r="F35" i="2"/>
  <c r="G35" i="2" s="1"/>
  <c r="I34" i="2"/>
  <c r="H34" i="2"/>
  <c r="F34" i="2"/>
  <c r="G34" i="2" s="1"/>
  <c r="I33" i="2"/>
  <c r="H33" i="2"/>
  <c r="F33" i="2"/>
  <c r="G33" i="2" s="1"/>
  <c r="I32" i="2"/>
  <c r="H32" i="2"/>
  <c r="F32" i="2"/>
  <c r="G32" i="2" s="1"/>
  <c r="I31" i="2"/>
  <c r="H31" i="2"/>
  <c r="F31" i="2"/>
  <c r="G31" i="2" s="1"/>
  <c r="I30" i="2"/>
  <c r="H30" i="2"/>
  <c r="F30" i="2"/>
  <c r="G30" i="2" s="1"/>
  <c r="I29" i="2"/>
  <c r="H29" i="2"/>
  <c r="F29" i="2"/>
  <c r="G29" i="2" s="1"/>
  <c r="I28" i="2"/>
  <c r="H28" i="2"/>
  <c r="F28" i="2"/>
  <c r="G28" i="2" s="1"/>
  <c r="I27" i="2"/>
  <c r="H27" i="2"/>
  <c r="F27" i="2"/>
  <c r="G27" i="2" s="1"/>
  <c r="I26" i="2"/>
  <c r="H26" i="2"/>
  <c r="F26" i="2"/>
  <c r="G26" i="2" s="1"/>
  <c r="I25" i="2"/>
  <c r="H25" i="2"/>
  <c r="F25" i="2"/>
  <c r="G25" i="2" s="1"/>
  <c r="I24" i="2"/>
  <c r="H24" i="2"/>
  <c r="F24" i="2"/>
  <c r="G24" i="2" s="1"/>
  <c r="I23" i="2"/>
  <c r="H23" i="2"/>
  <c r="F23" i="2"/>
  <c r="G23" i="2" s="1"/>
  <c r="I22" i="2"/>
  <c r="H22" i="2"/>
  <c r="F22" i="2"/>
  <c r="G22" i="2" s="1"/>
  <c r="I21" i="2"/>
  <c r="H21" i="2"/>
  <c r="F21" i="2"/>
  <c r="G21" i="2" s="1"/>
  <c r="I20" i="2"/>
  <c r="H20" i="2"/>
  <c r="F20" i="2"/>
  <c r="G20" i="2" s="1"/>
  <c r="I19" i="2"/>
  <c r="H19" i="2"/>
  <c r="F19" i="2"/>
  <c r="G19" i="2" s="1"/>
  <c r="I18" i="2"/>
  <c r="H18" i="2"/>
  <c r="F18" i="2"/>
  <c r="G18" i="2" s="1"/>
  <c r="I17" i="2"/>
  <c r="H17" i="2"/>
  <c r="F17" i="2"/>
  <c r="G17" i="2" s="1"/>
  <c r="I16" i="2"/>
  <c r="F16" i="2"/>
  <c r="G16" i="2" s="1"/>
  <c r="M11" i="2" l="1"/>
  <c r="M10" i="2"/>
  <c r="M9" i="2"/>
  <c r="M7" i="2"/>
  <c r="M8" i="2"/>
  <c r="P8" i="2" s="1"/>
  <c r="M6" i="2"/>
  <c r="P6" i="2" s="1"/>
  <c r="I6" i="2"/>
  <c r="I7" i="2"/>
  <c r="I8" i="2"/>
  <c r="I9" i="2"/>
  <c r="I10" i="2"/>
  <c r="I11" i="2"/>
  <c r="H7" i="2"/>
  <c r="H8" i="2"/>
  <c r="H9" i="2"/>
  <c r="H10" i="2"/>
  <c r="G6" i="2"/>
  <c r="G7" i="2"/>
  <c r="G8" i="2"/>
  <c r="G9" i="2"/>
  <c r="G11" i="2"/>
  <c r="Q11" i="2" l="1"/>
  <c r="S11" i="2" s="1"/>
  <c r="P10" i="2"/>
  <c r="Q10" i="2" s="1"/>
  <c r="Q8" i="2"/>
  <c r="P7" i="2"/>
  <c r="P9" i="2"/>
  <c r="Q9" i="2" s="1"/>
  <c r="S7" i="2" l="1"/>
  <c r="T7" i="2" s="1"/>
  <c r="S8" i="2"/>
  <c r="T8" i="2" s="1"/>
  <c r="S9" i="2"/>
  <c r="S6" i="2"/>
  <c r="T6" i="2" s="1"/>
  <c r="S10" i="2"/>
  <c r="T12" i="2" l="1"/>
</calcChain>
</file>

<file path=xl/sharedStrings.xml><?xml version="1.0" encoding="utf-8"?>
<sst xmlns="http://schemas.openxmlformats.org/spreadsheetml/2006/main" count="251" uniqueCount="194">
  <si>
    <t>Rating distribution at year end</t>
  </si>
  <si>
    <t>Began the year as investment grade</t>
  </si>
  <si>
    <t>Number of issuers as of Jan 1</t>
  </si>
  <si>
    <t>Ended the year investment grade (%)</t>
  </si>
  <si>
    <t>Ended the year speculative grade (%)</t>
  </si>
  <si>
    <t>Defaulted (%)</t>
  </si>
  <si>
    <t>Rating withdrawing (%)</t>
  </si>
  <si>
    <t xml:space="preserve">Began the year as speculative grade </t>
  </si>
  <si>
    <t>Weighted average</t>
  </si>
  <si>
    <t>Median</t>
  </si>
  <si>
    <t>Standard deviation</t>
  </si>
  <si>
    <t>Minimum</t>
  </si>
  <si>
    <t>Maximum</t>
  </si>
  <si>
    <t>Grade</t>
  </si>
  <si>
    <t>Range</t>
  </si>
  <si>
    <t>Bad=1</t>
  </si>
  <si>
    <t>Good=0</t>
  </si>
  <si>
    <t>Total good &amp; bad</t>
  </si>
  <si>
    <t>Bad Rate</t>
  </si>
  <si>
    <t>%Bad</t>
  </si>
  <si>
    <t>%Good</t>
  </si>
  <si>
    <t>G1</t>
  </si>
  <si>
    <t>G2</t>
  </si>
  <si>
    <t>.01788 - .04476</t>
  </si>
  <si>
    <t>G3</t>
  </si>
  <si>
    <t>.04477 - .13604</t>
  </si>
  <si>
    <t>G4</t>
  </si>
  <si>
    <t>.13605 - .24908</t>
  </si>
  <si>
    <t>G5</t>
  </si>
  <si>
    <t>G6</t>
  </si>
  <si>
    <t>.59037 - .78816</t>
  </si>
  <si>
    <t>G7</t>
  </si>
  <si>
    <t>.78817+</t>
  </si>
  <si>
    <t>Default</t>
  </si>
  <si>
    <t>≤ .01787</t>
  </si>
  <si>
    <t>Band</t>
  </si>
  <si>
    <t>Grand Total</t>
  </si>
  <si>
    <t>B1</t>
  </si>
  <si>
    <t>&lt;= .01017</t>
  </si>
  <si>
    <t>B2</t>
  </si>
  <si>
    <t>.01018 - .01787</t>
  </si>
  <si>
    <t>B3</t>
  </si>
  <si>
    <t>.01788 - .02520</t>
  </si>
  <si>
    <t>B4</t>
  </si>
  <si>
    <t>.02521 - .02988</t>
  </si>
  <si>
    <t>B5</t>
  </si>
  <si>
    <t>.02989 - .03713</t>
  </si>
  <si>
    <t>B6</t>
  </si>
  <si>
    <t>.03714 - .04476</t>
  </si>
  <si>
    <t>B7</t>
  </si>
  <si>
    <t>.04477 - .05152</t>
  </si>
  <si>
    <t>B8</t>
  </si>
  <si>
    <t>.05153 - .06626</t>
  </si>
  <si>
    <t>B9</t>
  </si>
  <si>
    <t>.06627 - .07629</t>
  </si>
  <si>
    <t>B10</t>
  </si>
  <si>
    <t>.07630 - .08818</t>
  </si>
  <si>
    <t>B11</t>
  </si>
  <si>
    <t>.08819 - .11163</t>
  </si>
  <si>
    <t>B12</t>
  </si>
  <si>
    <t>.11164 - .13604</t>
  </si>
  <si>
    <t>B13</t>
  </si>
  <si>
    <t>.13605 - .17296</t>
  </si>
  <si>
    <t>B14</t>
  </si>
  <si>
    <t>.17297 - .20581</t>
  </si>
  <si>
    <t>B15</t>
  </si>
  <si>
    <t>.20582 - .24908</t>
  </si>
  <si>
    <t>B16</t>
  </si>
  <si>
    <t>.24909 - .27959</t>
  </si>
  <si>
    <t>B17</t>
  </si>
  <si>
    <t>.27960 - .36185</t>
  </si>
  <si>
    <t>B18</t>
  </si>
  <si>
    <t>.36186 - .59036</t>
  </si>
  <si>
    <t>B19</t>
  </si>
  <si>
    <t>B20</t>
  </si>
  <si>
    <t>rated</t>
  </si>
  <si>
    <t>defaults</t>
  </si>
  <si>
    <t>DR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</si>
  <si>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</si>
  <si>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</si>
  <si>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</si>
  <si>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</si>
  <si>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</si>
  <si>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</si>
  <si>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</si>
  <si>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</si>
  <si>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</si>
  <si>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</si>
  <si>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</si>
  <si>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</si>
  <si>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</si>
  <si>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</si>
  <si>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</si>
  <si>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</si>
  <si>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CCC-C</t>
  </si>
  <si>
    <t>All</t>
  </si>
  <si>
    <t>Rating grade</t>
  </si>
  <si>
    <t>D = Default event</t>
  </si>
  <si>
    <t>G = Grade</t>
  </si>
  <si>
    <t>P(Default/G)</t>
  </si>
  <si>
    <t>P(Default)</t>
  </si>
  <si>
    <t>P(Good)</t>
  </si>
  <si>
    <t>Cummulative No. Default</t>
  </si>
  <si>
    <t>Cummulative No. Obligors</t>
  </si>
  <si>
    <t>%Cummulative No. Default</t>
  </si>
  <si>
    <t>%Cummulative No. Obligors</t>
  </si>
  <si>
    <t>Long run average PD</t>
  </si>
  <si>
    <t>Calibrate PD</t>
  </si>
  <si>
    <t>Year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</si>
  <si>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</si>
  <si>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</si>
  <si>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</si>
  <si>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</si>
  <si>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</si>
  <si>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</si>
  <si>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</si>
  <si>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</si>
  <si>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</si>
  <si>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</si>
  <si>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</si>
  <si>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</si>
  <si>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</si>
  <si>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</si>
  <si>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</si>
  <si>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</si>
  <si>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</si>
  <si>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</si>
  <si>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</si>
  <si>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</si>
  <si>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</si>
  <si>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</si>
  <si>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</si>
  <si>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</si>
  <si>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</si>
  <si>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</si>
  <si>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</si>
  <si>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</si>
  <si>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</si>
  <si>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</si>
  <si>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</si>
  <si>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</si>
  <si>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https://data.worldbank.org/country/vietnam</t>
  </si>
  <si>
    <t>GDP Growth rate %</t>
  </si>
  <si>
    <t>https://www.imf.org/external/pubs/ft/weo/2018/01/weodata/download.aspx</t>
  </si>
  <si>
    <t>Economic cycle</t>
  </si>
  <si>
    <t>Start</t>
  </si>
  <si>
    <t>Now</t>
  </si>
  <si>
    <t>Recession year</t>
  </si>
  <si>
    <t>Total</t>
  </si>
  <si>
    <t>Observed time</t>
  </si>
  <si>
    <t>Likelihood of recession</t>
  </si>
  <si>
    <t>1990-1991</t>
  </si>
  <si>
    <t>2001-2002</t>
  </si>
  <si>
    <t>x</t>
  </si>
  <si>
    <t>Downturn average PD</t>
  </si>
  <si>
    <t>Non-downturn average PD</t>
  </si>
  <si>
    <t>Recession period</t>
  </si>
  <si>
    <t>PD non-downturn Vpbank</t>
  </si>
  <si>
    <t>Downturn adjustment PD</t>
  </si>
  <si>
    <t>Count default</t>
  </si>
  <si>
    <t>GDP Growth rate (%)</t>
  </si>
  <si>
    <t>CIF</t>
  </si>
  <si>
    <t>PD</t>
  </si>
  <si>
    <t>.24909- .59036</t>
  </si>
  <si>
    <t xml:space="preserve">Default </t>
  </si>
  <si>
    <t>alpha</t>
  </si>
  <si>
    <t>beta</t>
  </si>
  <si>
    <t>Sc</t>
  </si>
  <si>
    <t>Sample</t>
  </si>
  <si>
    <t>Population</t>
  </si>
  <si>
    <t>Observation</t>
  </si>
  <si>
    <t>Default rate</t>
  </si>
  <si>
    <t>K</t>
  </si>
  <si>
    <t>Low</t>
  </si>
  <si>
    <t>High</t>
  </si>
  <si>
    <t xml:space="preserve">PD </t>
  </si>
  <si>
    <t>Y</t>
  </si>
  <si>
    <t>PD calibrate</t>
  </si>
  <si>
    <t>Min of PD calibrate</t>
  </si>
  <si>
    <t>Max of PD calibrate</t>
  </si>
  <si>
    <t>Mid of PD calibrate</t>
  </si>
  <si>
    <t>METHOD 2</t>
  </si>
  <si>
    <t>METHOD 1</t>
  </si>
  <si>
    <t>Unsmooth PD</t>
  </si>
  <si>
    <t>Smooth PD</t>
  </si>
  <si>
    <t>No</t>
  </si>
  <si>
    <t>CAP</t>
  </si>
  <si>
    <t>Non-downturn/Downturn average PD</t>
  </si>
  <si>
    <t>On average recession occur every 10 year</t>
  </si>
  <si>
    <t>Downturn frequency</t>
  </si>
  <si>
    <t>1 - Default rate</t>
  </si>
  <si>
    <t>Recession in 1990-1991, 1999-2000 and 2009-2010</t>
  </si>
  <si>
    <t>Downturn/nondownturn PD ratio</t>
  </si>
  <si>
    <t>Slope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</si>
</sst>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0"/>
    <numFmt numFmtId="165" formatCode="0.0000%"/>
    <numFmt numFmtId="166" formatCode="0.00000000000000%"/>
    <numFmt numFmtId="167" formatCode="0.000%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9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>
      <protection locked="0"/>
    </xf>
    <xf numFmtId="0" fontId="7" fillId="10" borderId="0" applyNumberFormat="0" applyBorder="0" applyAlignment="0">
      <protection locked="0"/>
    </xf>
  </cellStyleXfs>
  <cellXfs count="1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9" fontId="1" fillId="2" borderId="0" xfId="1" applyFont="1" applyFill="1" applyAlignment="1">
      <alignment horizontal="center" vertical="center"/>
    </xf>
    <xf numFmtId="0" fontId="1" fillId="6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vertical="top" wrapText="1"/>
    </xf>
    <xf numFmtId="10" fontId="3" fillId="2" borderId="0" xfId="1" applyNumberFormat="1" applyFont="1" applyFill="1" applyAlignment="1">
      <alignment wrapText="1"/>
    </xf>
    <xf numFmtId="0" fontId="3" fillId="2" borderId="0" xfId="0" applyFont="1" applyFill="1"/>
    <xf numFmtId="9" fontId="3" fillId="2" borderId="0" xfId="1" applyFont="1" applyFill="1"/>
    <xf numFmtId="9" fontId="3" fillId="2" borderId="0" xfId="0" applyNumberFormat="1" applyFont="1" applyFill="1"/>
    <xf numFmtId="0" fontId="4" fillId="2" borderId="0" xfId="0" applyFont="1" applyFill="1"/>
    <xf numFmtId="9" fontId="4" fillId="2" borderId="0" xfId="1" applyFont="1" applyFill="1"/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1" fontId="3" fillId="7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wrapText="1"/>
    </xf>
    <xf numFmtId="0" fontId="3" fillId="7" borderId="0" xfId="0" applyFont="1" applyFill="1" applyAlignment="1">
      <alignment horizontal="right" vertical="center"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right" vertical="top" wrapText="1"/>
    </xf>
    <xf numFmtId="0" fontId="3" fillId="7" borderId="1" xfId="0" applyFont="1" applyFill="1" applyBorder="1" applyAlignment="1">
      <alignment horizontal="right" vertical="center" wrapText="1"/>
    </xf>
    <xf numFmtId="10" fontId="3" fillId="7" borderId="1" xfId="1" applyNumberFormat="1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0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3" fillId="7" borderId="0" xfId="1" applyNumberFormat="1" applyFont="1" applyFill="1" applyAlignment="1">
      <alignment horizontal="center"/>
    </xf>
    <xf numFmtId="0" fontId="3" fillId="8" borderId="1" xfId="0" applyFont="1" applyFill="1" applyBorder="1" applyAlignment="1">
      <alignment wrapText="1"/>
    </xf>
    <xf numFmtId="10" fontId="3" fillId="8" borderId="1" xfId="1" applyNumberFormat="1" applyFont="1" applyFill="1" applyBorder="1" applyAlignment="1">
      <alignment wrapText="1"/>
    </xf>
    <xf numFmtId="0" fontId="3" fillId="8" borderId="1" xfId="0" applyFont="1" applyFill="1" applyBorder="1" applyAlignment="1">
      <alignment horizontal="right" vertical="top" wrapText="1"/>
    </xf>
    <xf numFmtId="10" fontId="3" fillId="8" borderId="1" xfId="1" applyNumberFormat="1" applyFont="1" applyFill="1" applyBorder="1" applyAlignment="1">
      <alignment horizontal="right" vertical="top" wrapText="1"/>
    </xf>
    <xf numFmtId="10" fontId="3" fillId="8" borderId="1" xfId="0" applyNumberFormat="1" applyFont="1" applyFill="1" applyBorder="1" applyAlignment="1">
      <alignment wrapText="1"/>
    </xf>
    <xf numFmtId="0" fontId="3" fillId="2" borderId="0" xfId="0" applyNumberFormat="1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10" fontId="3" fillId="8" borderId="1" xfId="0" applyNumberFormat="1" applyFont="1" applyFill="1" applyBorder="1" applyAlignment="1">
      <alignment horizontal="right" vertical="top" wrapText="1"/>
    </xf>
    <xf numFmtId="0" fontId="3" fillId="8" borderId="1" xfId="0" applyFont="1" applyFill="1" applyBorder="1" applyAlignment="1">
      <alignment horizontal="center" vertical="center" wrapText="1"/>
    </xf>
    <xf numFmtId="10" fontId="3" fillId="2" borderId="0" xfId="0" applyNumberFormat="1" applyFont="1" applyFill="1" applyAlignment="1">
      <alignment wrapText="1"/>
    </xf>
    <xf numFmtId="0" fontId="3" fillId="8" borderId="0" xfId="0" applyFont="1" applyFill="1" applyBorder="1" applyAlignment="1">
      <alignment wrapText="1"/>
    </xf>
    <xf numFmtId="10" fontId="3" fillId="8" borderId="0" xfId="0" applyNumberFormat="1" applyFont="1" applyFill="1" applyBorder="1" applyAlignment="1">
      <alignment horizontal="right" vertical="top" wrapText="1"/>
    </xf>
    <xf numFmtId="10" fontId="3" fillId="8" borderId="0" xfId="0" applyNumberFormat="1" applyFont="1" applyFill="1" applyBorder="1" applyAlignment="1">
      <alignment wrapText="1"/>
    </xf>
    <xf numFmtId="0" fontId="3" fillId="8" borderId="0" xfId="0" applyFont="1" applyFill="1" applyBorder="1" applyAlignment="1">
      <alignment horizontal="right" vertical="top" wrapText="1"/>
    </xf>
    <xf numFmtId="2" fontId="3" fillId="8" borderId="0" xfId="0" applyNumberFormat="1" applyFont="1" applyFill="1" applyBorder="1" applyAlignment="1">
      <alignment wrapText="1"/>
    </xf>
    <xf numFmtId="10" fontId="3" fillId="8" borderId="1" xfId="1" applyNumberFormat="1" applyFont="1" applyFill="1" applyBorder="1" applyAlignment="1">
      <alignment vertical="center" wrapText="1"/>
    </xf>
    <xf numFmtId="9" fontId="3" fillId="2" borderId="0" xfId="1" applyFont="1" applyFill="1" applyAlignment="1">
      <alignment wrapText="1"/>
    </xf>
    <xf numFmtId="2" fontId="3" fillId="2" borderId="0" xfId="0" applyNumberFormat="1" applyFont="1" applyFill="1" applyAlignment="1">
      <alignment horizontal="right" vertical="center" wrapText="1"/>
    </xf>
    <xf numFmtId="0" fontId="3" fillId="2" borderId="0" xfId="0" quotePrefix="1" applyFont="1" applyFill="1" applyAlignment="1">
      <alignment wrapText="1"/>
    </xf>
    <xf numFmtId="9" fontId="3" fillId="2" borderId="0" xfId="0" applyNumberFormat="1" applyFont="1" applyFill="1" applyAlignment="1">
      <alignment wrapText="1"/>
    </xf>
    <xf numFmtId="164" fontId="0" fillId="0" borderId="0" xfId="0" applyNumberFormat="1" applyAlignment="1">
      <alignment horizontal="right"/>
    </xf>
    <xf numFmtId="0" fontId="3" fillId="2" borderId="0" xfId="0" applyFont="1" applyFill="1" applyAlignment="1">
      <alignment horizontal="right" wrapText="1"/>
    </xf>
    <xf numFmtId="10" fontId="3" fillId="7" borderId="0" xfId="1" applyNumberFormat="1" applyFont="1" applyFill="1" applyAlignment="1">
      <alignment horizontal="right" vertical="center" wrapText="1"/>
    </xf>
    <xf numFmtId="10" fontId="3" fillId="7" borderId="1" xfId="1" applyNumberFormat="1" applyFont="1" applyFill="1" applyBorder="1" applyAlignment="1">
      <alignment horizontal="left" vertical="top" wrapText="1"/>
    </xf>
    <xf numFmtId="10" fontId="3" fillId="7" borderId="1" xfId="1" applyNumberFormat="1" applyFont="1" applyFill="1" applyBorder="1" applyAlignment="1">
      <alignment horizontal="right" vertical="top" wrapText="1"/>
    </xf>
    <xf numFmtId="10" fontId="3" fillId="2" borderId="0" xfId="1" applyNumberFormat="1" applyFont="1" applyFill="1" applyAlignment="1">
      <alignment horizontal="right" vertical="center" wrapText="1"/>
    </xf>
    <xf numFmtId="10" fontId="3" fillId="7" borderId="0" xfId="0" applyNumberFormat="1" applyFont="1" applyFill="1" applyAlignment="1">
      <alignment wrapText="1"/>
    </xf>
    <xf numFmtId="10" fontId="3" fillId="7" borderId="1" xfId="0" applyNumberFormat="1" applyFont="1" applyFill="1" applyBorder="1" applyAlignment="1">
      <alignment horizontal="left" vertical="top" wrapText="1"/>
    </xf>
    <xf numFmtId="10" fontId="3" fillId="7" borderId="1" xfId="0" applyNumberFormat="1" applyFont="1" applyFill="1" applyBorder="1" applyAlignment="1">
      <alignment wrapText="1"/>
    </xf>
    <xf numFmtId="10" fontId="3" fillId="7" borderId="1" xfId="0" applyNumberFormat="1" applyFont="1" applyFill="1" applyBorder="1" applyAlignment="1">
      <alignment vertical="top" wrapText="1"/>
    </xf>
    <xf numFmtId="10" fontId="3" fillId="2" borderId="0" xfId="0" applyNumberFormat="1" applyFont="1" applyFill="1" applyAlignment="1">
      <alignment horizontal="right" wrapText="1"/>
    </xf>
    <xf numFmtId="0" fontId="3" fillId="9" borderId="0" xfId="0" applyFont="1" applyFill="1" applyAlignment="1">
      <alignment wrapText="1"/>
    </xf>
    <xf numFmtId="0" fontId="5" fillId="9" borderId="0" xfId="0" applyFont="1" applyFill="1"/>
    <xf numFmtId="10" fontId="5" fillId="9" borderId="0" xfId="1" applyNumberFormat="1" applyFont="1" applyFill="1" applyAlignment="1">
      <alignment horizontal="right"/>
    </xf>
    <xf numFmtId="165" fontId="5" fillId="9" borderId="0" xfId="0" applyNumberFormat="1" applyFont="1" applyFill="1"/>
    <xf numFmtId="10" fontId="5" fillId="9" borderId="0" xfId="1" applyNumberFormat="1" applyFont="1" applyFill="1"/>
    <xf numFmtId="0" fontId="6" fillId="9" borderId="0" xfId="0" applyFont="1" applyFill="1" applyAlignment="1">
      <alignment wrapText="1"/>
    </xf>
    <xf numFmtId="0" fontId="6" fillId="9" borderId="0" xfId="0" applyFont="1" applyFill="1" applyAlignment="1">
      <alignment vertical="top" wrapText="1"/>
    </xf>
    <xf numFmtId="10" fontId="6" fillId="9" borderId="0" xfId="0" applyNumberFormat="1" applyFont="1" applyFill="1" applyBorder="1" applyAlignment="1">
      <alignment horizontal="right" vertical="top" wrapText="1"/>
    </xf>
    <xf numFmtId="10" fontId="6" fillId="9" borderId="0" xfId="0" applyNumberFormat="1" applyFont="1" applyFill="1" applyAlignment="1">
      <alignment wrapText="1"/>
    </xf>
    <xf numFmtId="2" fontId="6" fillId="9" borderId="0" xfId="0" applyNumberFormat="1" applyFont="1" applyFill="1" applyAlignment="1">
      <alignment wrapText="1"/>
    </xf>
    <xf numFmtId="166" fontId="3" fillId="2" borderId="0" xfId="0" applyNumberFormat="1" applyFont="1" applyFill="1" applyAlignment="1">
      <alignment vertical="top" wrapText="1"/>
    </xf>
    <xf numFmtId="1" fontId="3" fillId="7" borderId="1" xfId="1" applyNumberFormat="1" applyFont="1" applyFill="1" applyBorder="1" applyAlignment="1">
      <alignment wrapText="1"/>
    </xf>
    <xf numFmtId="1" fontId="3" fillId="7" borderId="1" xfId="1" applyNumberFormat="1" applyFont="1" applyFill="1" applyBorder="1" applyAlignment="1">
      <alignment horizontal="right" vertical="center" wrapText="1"/>
    </xf>
    <xf numFmtId="1" fontId="3" fillId="8" borderId="1" xfId="0" applyNumberFormat="1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167" fontId="6" fillId="9" borderId="0" xfId="0" applyNumberFormat="1" applyFont="1" applyFill="1" applyAlignment="1">
      <alignment wrapText="1"/>
    </xf>
    <xf numFmtId="2" fontId="3" fillId="2" borderId="0" xfId="0" applyNumberFormat="1" applyFont="1" applyFill="1" applyAlignment="1">
      <alignment wrapText="1"/>
    </xf>
    <xf numFmtId="0" fontId="1" fillId="11" borderId="0" xfId="0" applyFont="1" applyFill="1" applyAlignment="1">
      <alignment horizontal="center" vertical="center"/>
    </xf>
    <xf numFmtId="2" fontId="1" fillId="11" borderId="0" xfId="1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2" fontId="1" fillId="11" borderId="0" xfId="1" applyNumberFormat="1" applyFont="1" applyFill="1" applyAlignment="1">
      <alignment horizontal="left" vertical="center"/>
    </xf>
    <xf numFmtId="10" fontId="1" fillId="11" borderId="0" xfId="1" applyNumberFormat="1" applyFont="1" applyFill="1" applyAlignment="1">
      <alignment horizontal="left" vertical="center"/>
    </xf>
    <xf numFmtId="10" fontId="3" fillId="11" borderId="0" xfId="1" applyNumberFormat="1" applyFont="1" applyFill="1" applyAlignment="1">
      <alignment horizontal="left" wrapText="1"/>
    </xf>
    <xf numFmtId="2" fontId="1" fillId="11" borderId="0" xfId="0" applyNumberFormat="1" applyFont="1" applyFill="1" applyAlignment="1">
      <alignment horizontal="left" vertical="center"/>
    </xf>
    <xf numFmtId="9" fontId="1" fillId="11" borderId="0" xfId="0" applyNumberFormat="1" applyFont="1" applyFill="1" applyAlignment="1">
      <alignment horizontal="left" vertical="center"/>
    </xf>
    <xf numFmtId="10" fontId="8" fillId="11" borderId="0" xfId="1" applyNumberFormat="1" applyFont="1" applyFill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</cellXfs>
  <cellStyles count="5">
    <cellStyle name="Adjustable" xfId="3"/>
    <cellStyle name="Best" xfId="4"/>
    <cellStyle name="Normal" xfId="0" builtinId="0"/>
    <cellStyle name="Normal 2" xfId="2"/>
    <cellStyle name="Percent" xfId="1" builtinId="5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5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TTC_PD!$J$3</c:f>
              <c:strCache>
                <c:ptCount val="1"/>
                <c:pt idx="0">
                  <c:v>Defaulted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TTC_PD!$A$4:$A$39</c:f>
              <c:numCache>
                <c:formatCode>General</c:formatCode>
                <c:ptCount val="36"/>
                <c:pt idx="0">
                  <c:v>1981</c:v>
                </c:pt>
                <c:pt idx="1">
                  <c:v>1982</c:v>
                </c:pt>
                <c:pt idx="2">
                  <c:v>1983</c:v>
                </c:pt>
                <c:pt idx="3">
                  <c:v>1984</c:v>
                </c:pt>
                <c:pt idx="4">
                  <c:v>1985</c:v>
                </c:pt>
                <c:pt idx="5">
                  <c:v>1986</c:v>
                </c:pt>
                <c:pt idx="6">
                  <c:v>1987</c:v>
                </c:pt>
                <c:pt idx="7">
                  <c:v>1988</c:v>
                </c:pt>
                <c:pt idx="8">
                  <c:v>1989</c:v>
                </c:pt>
                <c:pt idx="9">
                  <c:v>1990</c:v>
                </c:pt>
                <c:pt idx="10">
                  <c:v>1991</c:v>
                </c:pt>
                <c:pt idx="11">
                  <c:v>1992</c:v>
                </c:pt>
                <c:pt idx="12">
                  <c:v>1993</c:v>
                </c:pt>
                <c:pt idx="13">
                  <c:v>1994</c:v>
                </c:pt>
                <c:pt idx="14">
                  <c:v>1995</c:v>
                </c:pt>
                <c:pt idx="15">
                  <c:v>1996</c:v>
                </c:pt>
                <c:pt idx="16">
                  <c:v>1997</c:v>
                </c:pt>
                <c:pt idx="17">
                  <c:v>1998</c:v>
                </c:pt>
                <c:pt idx="18">
                  <c:v>1999</c:v>
                </c:pt>
                <c:pt idx="19">
                  <c:v>2000</c:v>
                </c:pt>
                <c:pt idx="20">
                  <c:v>2001</c:v>
                </c:pt>
                <c:pt idx="21">
                  <c:v>2002</c:v>
                </c:pt>
                <c:pt idx="22">
                  <c:v>2003</c:v>
                </c:pt>
                <c:pt idx="23">
                  <c:v>2004</c:v>
                </c:pt>
                <c:pt idx="24">
                  <c:v>2005</c:v>
                </c:pt>
                <c:pt idx="25">
                  <c:v>2006</c:v>
                </c:pt>
                <c:pt idx="26">
                  <c:v>2007</c:v>
                </c:pt>
                <c:pt idx="27">
                  <c:v>2008</c:v>
                </c:pt>
                <c:pt idx="28">
                  <c:v>2009</c:v>
                </c:pt>
                <c:pt idx="29">
                  <c:v>2010</c:v>
                </c:pt>
                <c:pt idx="30">
                  <c:v>2011</c:v>
                </c:pt>
                <c:pt idx="31">
                  <c:v>2012</c:v>
                </c:pt>
                <c:pt idx="32">
                  <c:v>2013</c:v>
                </c:pt>
                <c:pt idx="33">
                  <c:v>2014</c:v>
                </c:pt>
                <c:pt idx="34">
                  <c:v>2015</c:v>
                </c:pt>
                <c:pt idx="35">
                  <c:v>2016</c:v>
                </c:pt>
              </c:numCache>
            </c:numRef>
          </c:cat>
          <c:val>
            <c:numRef>
              <c:f>TTC_PD!$J$4:$J$39</c:f>
              <c:numCache>
                <c:formatCode>General</c:formatCode>
                <c:ptCount val="36"/>
                <c:pt idx="0">
                  <c:v>0.62</c:v>
                </c:pt>
                <c:pt idx="1">
                  <c:v>4.41</c:v>
                </c:pt>
                <c:pt idx="2">
                  <c:v>2.94</c:v>
                </c:pt>
                <c:pt idx="3">
                  <c:v>3.27</c:v>
                </c:pt>
                <c:pt idx="4">
                  <c:v>4.32</c:v>
                </c:pt>
                <c:pt idx="5">
                  <c:v>5.67</c:v>
                </c:pt>
                <c:pt idx="6">
                  <c:v>2.79</c:v>
                </c:pt>
                <c:pt idx="7">
                  <c:v>3.85</c:v>
                </c:pt>
                <c:pt idx="8">
                  <c:v>4.67</c:v>
                </c:pt>
                <c:pt idx="9">
                  <c:v>8.1199999999999992</c:v>
                </c:pt>
                <c:pt idx="10">
                  <c:v>11.05</c:v>
                </c:pt>
                <c:pt idx="11">
                  <c:v>6.1</c:v>
                </c:pt>
                <c:pt idx="12">
                  <c:v>2.5</c:v>
                </c:pt>
                <c:pt idx="13">
                  <c:v>2.11</c:v>
                </c:pt>
                <c:pt idx="14">
                  <c:v>3.53</c:v>
                </c:pt>
                <c:pt idx="15">
                  <c:v>1.81</c:v>
                </c:pt>
                <c:pt idx="16">
                  <c:v>2.0099999999999998</c:v>
                </c:pt>
                <c:pt idx="17">
                  <c:v>3.66</c:v>
                </c:pt>
                <c:pt idx="18">
                  <c:v>5.56</c:v>
                </c:pt>
                <c:pt idx="19">
                  <c:v>6.23</c:v>
                </c:pt>
                <c:pt idx="20">
                  <c:v>9.8699999999999992</c:v>
                </c:pt>
                <c:pt idx="21">
                  <c:v>9.49</c:v>
                </c:pt>
                <c:pt idx="22">
                  <c:v>5.0599999999999996</c:v>
                </c:pt>
                <c:pt idx="23">
                  <c:v>2.02</c:v>
                </c:pt>
                <c:pt idx="24">
                  <c:v>1.5</c:v>
                </c:pt>
                <c:pt idx="25">
                  <c:v>1.18</c:v>
                </c:pt>
                <c:pt idx="26">
                  <c:v>0.91</c:v>
                </c:pt>
                <c:pt idx="27">
                  <c:v>3.69</c:v>
                </c:pt>
                <c:pt idx="28">
                  <c:v>9.89</c:v>
                </c:pt>
                <c:pt idx="29">
                  <c:v>3</c:v>
                </c:pt>
                <c:pt idx="30">
                  <c:v>1.83</c:v>
                </c:pt>
                <c:pt idx="31">
                  <c:v>2.57</c:v>
                </c:pt>
                <c:pt idx="32">
                  <c:v>2.29</c:v>
                </c:pt>
                <c:pt idx="33">
                  <c:v>1.43</c:v>
                </c:pt>
                <c:pt idx="34">
                  <c:v>2.75</c:v>
                </c:pt>
                <c:pt idx="35">
                  <c:v>4.1900000000000004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4164976"/>
        <c:axId val="1054166656"/>
      </c:lineChart>
      <c:catAx>
        <c:axId val="105416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66656"/>
        <c:crosses val="autoZero"/>
        <c:auto val="1"/>
        <c:lblAlgn val="ctr"/>
        <c:lblOffset val="100"/>
        <c:noMultiLvlLbl val="0"/>
      </c:catAx>
      <c:valAx>
        <c:axId val="10541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6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'PD Calibration'!$M$5:$M$11</c:f>
              <c:numCache>
                <c:formatCode>0.00%</c:formatCode>
                <c:ptCount val="7"/>
                <c:pt idx="0">
                  <c:v>0</c:v>
                </c:pt>
                <c:pt idx="1">
                  <c:v>5.5555555555555552E-2</c:v>
                </c:pt>
                <c:pt idx="2">
                  <c:v>0.16666666666666666</c:v>
                </c:pt>
                <c:pt idx="3">
                  <c:v>0.30555555555555558</c:v>
                </c:pt>
                <c:pt idx="4">
                  <c:v>0.55555555555555558</c:v>
                </c:pt>
                <c:pt idx="5">
                  <c:v>0.75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169456"/>
        <c:axId val="1054165536"/>
      </c:scatterChart>
      <c:valAx>
        <c:axId val="105416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65536"/>
        <c:crosses val="autoZero"/>
        <c:crossBetween val="midCat"/>
      </c:valAx>
      <c:valAx>
        <c:axId val="10541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6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2"/>
          <c:tx>
            <c:strRef>
              <c:f>'PD Calibration'!$Y$4</c:f>
              <c:strCache>
                <c:ptCount val="1"/>
                <c:pt idx="0">
                  <c:v>CAP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'PD Calibration'!$V$5:$V$11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'PD Calibration'!$Y$5:$Y$11</c:f>
              <c:numCache>
                <c:formatCode>General</c:formatCode>
                <c:ptCount val="7"/>
                <c:pt idx="0">
                  <c:v>0.125</c:v>
                </c:pt>
                <c:pt idx="1">
                  <c:v>0.36184210526315791</c:v>
                </c:pt>
                <c:pt idx="2">
                  <c:v>0.69736842105263153</c:v>
                </c:pt>
                <c:pt idx="3">
                  <c:v>0.85526315789473684</c:v>
                </c:pt>
                <c:pt idx="4">
                  <c:v>0.98026315789473684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189056"/>
        <c:axId val="1054192416"/>
      </c:lineChart>
      <c:lineChart>
        <c:grouping val="standard"/>
        <c:varyColors val="0"/>
        <c:ser>
          <c:idx val="0"/>
          <c:order val="0"/>
          <c:tx>
            <c:strRef>
              <c:f>'PD Calibration'!$W$4</c:f>
              <c:strCache>
                <c:ptCount val="1"/>
                <c:pt idx="0">
                  <c:v>Unsmooth PD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'PD Calibration'!$V$5:$V$11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'PD Calibration'!$W$5:$W$11</c:f>
              <c:numCache>
                <c:formatCode>General</c:formatCode>
                <c:ptCount val="7"/>
                <c:pt idx="0">
                  <c:v>0.14644161371979145</c:v>
                </c:pt>
                <c:pt idx="1">
                  <c:v>0.10250912960385392</c:v>
                </c:pt>
                <c:pt idx="2">
                  <c:v>4.7070518695647233E-2</c:v>
                </c:pt>
                <c:pt idx="3">
                  <c:v>2.5248554089619207E-2</c:v>
                </c:pt>
                <c:pt idx="4">
                  <c:v>1.0650299179621193E-2</c:v>
                </c:pt>
                <c:pt idx="5">
                  <c:v>7.7074533536732309E-3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'PD Calibration'!$X$4</c:f>
              <c:strCache>
                <c:ptCount val="1"/>
                <c:pt idx="0">
                  <c:v>Smooth PD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'PD Calibration'!$V$5:$V$11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cat>
          <c:val>
            <c:numRef>
              <c:f>'PD Calibration'!$X$5:$X$11</c:f>
              <c:numCache>
                <c:formatCode>General</c:formatCode>
                <c:ptCount val="7"/>
                <c:pt idx="0">
                  <c:v>0.13217935796885832</c:v>
                </c:pt>
                <c:pt idx="1">
                  <c:v>8.04936887250009E-2</c:v>
                </c:pt>
                <c:pt idx="2">
                  <c:v>4.7902900551965971E-2</c:v>
                </c:pt>
                <c:pt idx="3">
                  <c:v>2.810435725761536E-2</c:v>
                </c:pt>
                <c:pt idx="4">
                  <c:v>1.6348160187084602E-2</c:v>
                </c:pt>
                <c:pt idx="5">
                  <c:v>9.4617653469470566E-3</c:v>
                </c:pt>
                <c:pt idx="6">
                  <c:v>5.4600499529450126E-3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183456"/>
        <c:axId val="1054196336"/>
      </c:lineChart>
      <c:catAx>
        <c:axId val="105418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92416"/>
        <c:crosses val="autoZero"/>
        <c:auto val="1"/>
        <c:lblAlgn val="ctr"/>
        <c:lblOffset val="100"/>
        <c:noMultiLvlLbl val="0"/>
      </c:catAx>
      <c:valAx>
        <c:axId val="1054192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89056"/>
        <c:crosses val="autoZero"/>
        <c:crossBetween val="between"/>
      </c:valAx>
      <c:valAx>
        <c:axId val="105419633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183456"/>
        <c:crosses val="max"/>
        <c:crossBetween val="between"/>
      </c:valAx>
      <c:catAx>
        <c:axId val="1054183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54196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'World bank'!$D$3</c:f>
              <c:strCache>
                <c:ptCount val="1"/>
                <c:pt idx="0">
                  <c:v>GDP Growth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'World bank'!$C$4:$C$35</c:f>
              <c:strCache>
                <c:ptCount val="32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</c:strCache>
            </c:strRef>
          </c:cat>
          <c:val>
            <c:numRef>
              <c:f>'World bank'!$D$4:$D$35</c:f>
              <c:numCache>
                <c:formatCode>0.00</c:formatCode>
                <c:ptCount val="32"/>
                <c:pt idx="0">
                  <c:v>3.8058556682635469</c:v>
                </c:pt>
                <c:pt idx="1">
                  <c:v>2.7892915751152287</c:v>
                </c:pt>
                <c:pt idx="2">
                  <c:v>3.5834696326453752</c:v>
                </c:pt>
                <c:pt idx="3">
                  <c:v>5.135011671015647</c:v>
                </c:pt>
                <c:pt idx="4">
                  <c:v>7.3645128931532469</c:v>
                </c:pt>
                <c:pt idx="5">
                  <c:v>5.100918140390462</c:v>
                </c:pt>
                <c:pt idx="6">
                  <c:v>5.9608439317528479</c:v>
                </c:pt>
                <c:pt idx="7">
                  <c:v>8.6460474595585879</c:v>
                </c:pt>
                <c:pt idx="8">
                  <c:v>8.0727306571156845</c:v>
                </c:pt>
                <c:pt idx="9">
                  <c:v>8.8389809524012293</c:v>
                </c:pt>
                <c:pt idx="10">
                  <c:v>9.5404801749010772</c:v>
                </c:pt>
                <c:pt idx="11">
                  <c:v>9.3400174959913187</c:v>
                </c:pt>
                <c:pt idx="12">
                  <c:v>8.1520841432948714</c:v>
                </c:pt>
                <c:pt idx="13">
                  <c:v>5.7644554639502985</c:v>
                </c:pt>
                <c:pt idx="14">
                  <c:v>4.7735868805724522</c:v>
                </c:pt>
                <c:pt idx="15">
                  <c:v>6.7873164082219688</c:v>
                </c:pt>
                <c:pt idx="16">
                  <c:v>6.1928933118122984</c:v>
                </c:pt>
                <c:pt idx="17">
                  <c:v>6.3208209877104906</c:v>
                </c:pt>
                <c:pt idx="18">
                  <c:v>6.899063491742325</c:v>
                </c:pt>
                <c:pt idx="19">
                  <c:v>7.5364106118205711</c:v>
                </c:pt>
                <c:pt idx="20">
                  <c:v>7.5472477272280969</c:v>
                </c:pt>
                <c:pt idx="21">
                  <c:v>6.9779548118334702</c:v>
                </c:pt>
                <c:pt idx="22">
                  <c:v>7.1295044839632311</c:v>
                </c:pt>
                <c:pt idx="23">
                  <c:v>5.6617712080243194</c:v>
                </c:pt>
                <c:pt idx="24">
                  <c:v>5.3978975427667564</c:v>
                </c:pt>
                <c:pt idx="25">
                  <c:v>6.4232382171749691</c:v>
                </c:pt>
                <c:pt idx="26">
                  <c:v>6.2403027488752656</c:v>
                </c:pt>
                <c:pt idx="27">
                  <c:v>5.2473671560486963</c:v>
                </c:pt>
                <c:pt idx="28">
                  <c:v>5.4218829913071289</c:v>
                </c:pt>
                <c:pt idx="29">
                  <c:v>5.983654636978514</c:v>
                </c:pt>
                <c:pt idx="30">
                  <c:v>6.6792887889142776</c:v>
                </c:pt>
                <c:pt idx="31">
                  <c:v>6.2108116678999181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73645824"/>
        <c:axId val="1273632384"/>
      </c:lineChart>
      <c:catAx>
        <c:axId val="127364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32384"/>
        <c:crosses val="autoZero"/>
        <c:auto val="1"/>
        <c:lblAlgn val="ctr"/>
        <c:lblOffset val="100"/>
        <c:noMultiLvlLbl val="0"/>
      </c:catAx>
      <c:valAx>
        <c:axId val="127363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4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818946018844417E-2"/>
          <c:y val="4.0740740740740744E-2"/>
          <c:w val="0.94628397256794516"/>
          <c:h val="0.8136516093383064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'IMF_Downturn frequency'!$B$9:$B$42</c:f>
              <c:numCache>
                <c:formatCode>General</c:formatCode>
                <c:ptCount val="34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</c:numCache>
            </c:numRef>
          </c:xVal>
          <c:yVal>
            <c:numRef>
              <c:f>'IMF_Downturn frequency'!$C$9:$C$42</c:f>
              <c:numCache>
                <c:formatCode>0.00</c:formatCode>
                <c:ptCount val="34"/>
                <c:pt idx="0">
                  <c:v>5.6189999999999998</c:v>
                </c:pt>
                <c:pt idx="1">
                  <c:v>3.3570000000000002</c:v>
                </c:pt>
                <c:pt idx="2">
                  <c:v>2.5489999999999999</c:v>
                </c:pt>
                <c:pt idx="3">
                  <c:v>5.0999999999999996</c:v>
                </c:pt>
                <c:pt idx="4">
                  <c:v>7.8</c:v>
                </c:pt>
                <c:pt idx="5">
                  <c:v>5.0469999999999997</c:v>
                </c:pt>
                <c:pt idx="6">
                  <c:v>5.8090000000000002</c:v>
                </c:pt>
                <c:pt idx="7">
                  <c:v>8.6999999999999993</c:v>
                </c:pt>
                <c:pt idx="8">
                  <c:v>8.0779999999999994</c:v>
                </c:pt>
                <c:pt idx="9">
                  <c:v>8.8339999999999996</c:v>
                </c:pt>
                <c:pt idx="10">
                  <c:v>9.5399999999999991</c:v>
                </c:pt>
                <c:pt idx="11">
                  <c:v>9.34</c:v>
                </c:pt>
                <c:pt idx="12">
                  <c:v>8.1519999999999992</c:v>
                </c:pt>
                <c:pt idx="13">
                  <c:v>5.7649999999999997</c:v>
                </c:pt>
                <c:pt idx="14">
                  <c:v>4.774</c:v>
                </c:pt>
                <c:pt idx="15">
                  <c:v>6.7869999999999999</c:v>
                </c:pt>
                <c:pt idx="16">
                  <c:v>6.8949999999999996</c:v>
                </c:pt>
                <c:pt idx="17">
                  <c:v>7.08</c:v>
                </c:pt>
                <c:pt idx="18">
                  <c:v>7.3410000000000002</c:v>
                </c:pt>
                <c:pt idx="19">
                  <c:v>7.7889999999999997</c:v>
                </c:pt>
                <c:pt idx="20">
                  <c:v>7.5469999999999997</c:v>
                </c:pt>
                <c:pt idx="21">
                  <c:v>6.9779999999999998</c:v>
                </c:pt>
                <c:pt idx="22">
                  <c:v>7.1289999999999996</c:v>
                </c:pt>
                <c:pt idx="23">
                  <c:v>5.6619999999999999</c:v>
                </c:pt>
                <c:pt idx="24">
                  <c:v>5.3979999999999997</c:v>
                </c:pt>
                <c:pt idx="25">
                  <c:v>6.423</c:v>
                </c:pt>
                <c:pt idx="26">
                  <c:v>6.24</c:v>
                </c:pt>
                <c:pt idx="27">
                  <c:v>5.2469999999999999</c:v>
                </c:pt>
                <c:pt idx="28">
                  <c:v>5.4219999999999997</c:v>
                </c:pt>
                <c:pt idx="29">
                  <c:v>5.984</c:v>
                </c:pt>
                <c:pt idx="30">
                  <c:v>6.6790000000000003</c:v>
                </c:pt>
                <c:pt idx="31">
                  <c:v>6.2110000000000003</c:v>
                </c:pt>
                <c:pt idx="32">
                  <c:v>6.8120000000000003</c:v>
                </c:pt>
                <c:pt idx="33">
                  <c:v>6.6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73635744"/>
        <c:axId val="1273634064"/>
      </c:scatterChart>
      <c:valAx>
        <c:axId val="1273635744"/>
        <c:scaling>
          <c:orientation val="minMax"/>
          <c:max val="2018"/>
          <c:min val="198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34064"/>
        <c:crosses val="autoZero"/>
        <c:crossBetween val="midCat"/>
        <c:majorUnit val="1"/>
      </c:valAx>
      <c:valAx>
        <c:axId val="12736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3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552034</xdr:colOff>
      <xdr:row>1</xdr:row>
      <xdr:rowOff>71644</xdr:rowOff>
    </xdr:from>
    <xdr:to>
      <xdr:col>25</xdr:col>
      <xdr:colOff>275809</xdr:colOff>
      <xdr:row>19</xdr:row>
      <xdr:rowOff>27746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742950</xdr:colOff>
      <xdr:row>36</xdr:row>
      <xdr:rowOff>47625</xdr:rowOff>
    </xdr:from>
    <xdr:to>
      <xdr:col>13</xdr:col>
      <xdr:colOff>828056</xdr:colOff>
      <xdr:row>58</xdr:row>
      <xdr:rowOff>85301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7550" y="5838825"/>
          <a:ext cx="4952381" cy="3390476"/>
        </a:xfrm>
        <a:prstGeom prst="rect">
          <a:avLst/>
        </a:prstGeom>
      </xdr:spPr>
    </xdr:pic>
    <xdr:clientData/>
  </xdr:twoCellAnchor>
  <xdr:twoCellAnchor>
    <xdr:from>
      <xdr:col>19</xdr:col>
      <xdr:colOff>381001</xdr:colOff>
      <xdr:row>14</xdr:row>
      <xdr:rowOff>4762</xdr:rowOff>
    </xdr:from>
    <xdr:to>
      <xdr:col>26</xdr:col>
      <xdr:colOff>381001</xdr:colOff>
      <xdr:row>30</xdr:row>
      <xdr:rowOff>4762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300037</xdr:colOff>
      <xdr:row>2</xdr:row>
      <xdr:rowOff>80962</xdr:rowOff>
    </xdr:from>
    <xdr:to>
      <xdr:col>38</xdr:col>
      <xdr:colOff>24847</xdr:colOff>
      <xdr:row>16</xdr:row>
      <xdr:rowOff>49696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19048</xdr:colOff>
      <xdr:row>2</xdr:row>
      <xdr:rowOff>176211</xdr:rowOff>
    </xdr:from>
    <xdr:to>
      <xdr:col>18</xdr:col>
      <xdr:colOff>476249</xdr:colOff>
      <xdr:row>27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3</xdr:row>
      <xdr:rowOff>2720</xdr:rowOff>
    </xdr:from>
    <xdr:to>
      <xdr:col>19</xdr:col>
      <xdr:colOff>9525</xdr:colOff>
      <xdr:row>25</xdr:row>
      <xdr:rowOff>2722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39941</xdr:colOff>
      <xdr:row>17</xdr:row>
      <xdr:rowOff>58834</xdr:rowOff>
    </xdr:from>
    <xdr:to>
      <xdr:col>5</xdr:col>
      <xdr:colOff>245009</xdr:colOff>
      <xdr:row>19</xdr:row>
      <xdr:rowOff>94211</xdr:rowOff>
    </xdr:to>
    <xdr:sp macro="" textlink="">
      <xdr:nvSpPr>
        <xdr:cNvPr id="4" name="Oval 3"/>
        <xdr:cNvSpPr/>
      </xdr:nvSpPr>
      <xdr:spPr>
        <a:xfrm>
          <a:off x="2942265" y="2725834"/>
          <a:ext cx="810185" cy="34914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152401</xdr:colOff>
      <xdr:row>3</xdr:row>
      <xdr:rowOff>1</xdr:rowOff>
    </xdr:from>
    <xdr:to>
      <xdr:col>26</xdr:col>
      <xdr:colOff>552451</xdr:colOff>
      <xdr:row>28</xdr:row>
      <xdr:rowOff>40003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326" y="304801"/>
          <a:ext cx="4667250" cy="3850002"/>
        </a:xfrm>
        <a:prstGeom prst="rect">
          <a:avLst/>
        </a:prstGeom>
      </xdr:spPr>
    </xdr:pic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0.17681</cdr:x>
      <cdr:y>0.42947</cdr:y>
    </cdr:from>
    <cdr:to>
      <cdr:x>0.24839</cdr:x>
      <cdr:y>0.5207</cdr:y>
    </cdr:to>
    <cdr:sp macro="" textlink="">
      <cdr:nvSpPr>
        <cdr:cNvPr id="2" name="Oval 1"/>
        <cdr:cNvSpPr/>
      </cdr:nvSpPr>
      <cdr:spPr>
        <a:xfrm xmlns:a="http://schemas.openxmlformats.org/drawingml/2006/main">
          <a:off x="1660525" y="1943100"/>
          <a:ext cx="672290" cy="4127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0.41819</cdr:x>
      <cdr:y>0.45895</cdr:y>
    </cdr:from>
    <cdr:to>
      <cdr:x>0.48977</cdr:x>
      <cdr:y>0.55018</cdr:y>
    </cdr:to>
    <cdr:sp macro="" textlink="">
      <cdr:nvSpPr>
        <cdr:cNvPr id="3" name="Oval 2"/>
        <cdr:cNvSpPr/>
      </cdr:nvSpPr>
      <cdr:spPr>
        <a:xfrm xmlns:a="http://schemas.openxmlformats.org/drawingml/2006/main">
          <a:off x="3927475" y="2076450"/>
          <a:ext cx="672290" cy="4127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0.67767</cdr:x>
      <cdr:y>0.45274</cdr:y>
    </cdr:from>
    <cdr:to>
      <cdr:x>0.74731</cdr:x>
      <cdr:y>0.54396</cdr:y>
    </cdr:to>
    <cdr:sp macro="" textlink="">
      <cdr:nvSpPr>
        <cdr:cNvPr id="4" name="Oval 3"/>
        <cdr:cNvSpPr/>
      </cdr:nvSpPr>
      <cdr:spPr>
        <a:xfrm xmlns:a="http://schemas.openxmlformats.org/drawingml/2006/main">
          <a:off x="6483652" y="1562585"/>
          <a:ext cx="666287" cy="31483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9Slide" refreshedDate="43265.700101736111" createdVersion="5" refreshedVersion="5" minRefreshableVersion="3" recordCount="188">
  <cacheSource type="worksheet">
    <worksheetSource ref="B61:E249" sheet="PD Calibration"/>
  </cacheSource>
  <cacheFields count="4">
    <cacheField name="PD" numFmtId="10">
      <sharedItems containsSemiMixedTypes="0" containsString="0" containsNumber="1" minValue="2.14E-3" maxValue="0.97604000000000002"/>
    </cacheField>
    <cacheField name="Y" numFmtId="0">
      <sharedItems containsSemiMixedTypes="0" containsString="0" containsNumber="1" minValue="-3.7071177959325969" maxValue="6.1448071568763432"/>
    </cacheField>
    <cacheField name="PD calibrate" numFmtId="10">
      <sharedItems containsSemiMixedTypes="0" containsString="0" containsNumber="1" minValue="2.1648413368200681E-4" maxValue="0.80441939329048107" count="187">
        <n v="1.2175857536982882E-3"/>
        <n v="3.6443195511182123E-3"/>
        <n v="9.5328494592097732E-2"/>
        <n v="5.6011347486882093E-3"/>
        <n v="5.74821888821672E-3"/>
        <n v="5.3257836880242944E-3"/>
        <n v="5.2317050307289156E-3"/>
        <n v="2.1401165918505435E-3"/>
        <n v="7.1868961543081668E-3"/>
        <n v="3.2645317960884782E-2"/>
        <n v="3.1545497851167186E-3"/>
        <n v="1.5453140556638751E-2"/>
        <n v="1.0507003346657982E-3"/>
        <n v="1.2418488870814429E-2"/>
        <n v="0.1745155490646276"/>
        <n v="1.0013469909926727E-3"/>
        <n v="8.1710767341248523E-3"/>
        <n v="4.9636305918025626E-2"/>
        <n v="3.4955571921117395E-2"/>
        <n v="6.875714255973063E-2"/>
        <n v="8.1675910504927333E-3"/>
        <n v="8.8652387820309167E-3"/>
        <n v="1.3172692912535989E-2"/>
        <n v="9.3703884912338491E-3"/>
        <n v="6.1624629761425475E-3"/>
        <n v="5.7973285164002611E-3"/>
        <n v="2.8427107329213148E-3"/>
        <n v="1.0219056605487152E-3"/>
        <n v="3.8233337164707538E-2"/>
        <n v="8.190832751983828E-3"/>
        <n v="2.2278938781077829E-2"/>
        <n v="1.3394917325427443E-2"/>
        <n v="2.1841709311216356E-3"/>
        <n v="8.5849783401672139E-3"/>
        <n v="3.5965865297435763E-2"/>
        <n v="4.4091658604531736E-3"/>
        <n v="2.1648413368200681E-4"/>
        <n v="4.785912595830321E-4"/>
        <n v="1.2686804419028171E-2"/>
        <n v="3.670155362992574E-3"/>
        <n v="4.3775499877287552E-3"/>
        <n v="4.0330694237384439E-3"/>
        <n v="2.5669685900042559E-2"/>
        <n v="1.2712581410317526E-3"/>
        <n v="1.7615011332178708E-2"/>
        <n v="1.3460725253313195E-2"/>
        <n v="2.0455257256422849E-2"/>
        <n v="1.4353355833712153E-2"/>
        <n v="2.3815878152659377E-2"/>
        <n v="3.9081667568965993E-2"/>
        <n v="0.48537209734606773"/>
        <n v="9.4557811022044809E-3"/>
        <n v="1.1299138239674921E-2"/>
        <n v="8.4856163999418362E-3"/>
        <n v="2.5262467490587782E-2"/>
        <n v="3.7552796271231306E-3"/>
        <n v="3.0173664399059285E-2"/>
        <n v="4.5368937431229765E-3"/>
        <n v="3.2349896279034673E-2"/>
        <n v="2.7668727856935273E-2"/>
        <n v="9.7389060298706618E-3"/>
        <n v="1.3439203543261806E-2"/>
        <n v="2.1010666163082482E-2"/>
        <n v="9.2922170816736992E-3"/>
        <n v="4.7811167329778071E-3"/>
        <n v="7.3093248098722629E-3"/>
        <n v="7.0476100272890583E-3"/>
        <n v="9.5163400893039912E-3"/>
        <n v="1.3353190310772294E-2"/>
        <n v="3.7741502384947924E-2"/>
        <n v="1.5870920109183309E-3"/>
        <n v="4.9680405053042755E-2"/>
        <n v="1.9297536189372886E-3"/>
        <n v="6.9022597044770248E-2"/>
        <n v="1.6329328449533838E-2"/>
        <n v="0.59374267860972896"/>
        <n v="2.4207550434485912E-3"/>
        <n v="3.6055874089939936E-3"/>
        <n v="2.8819967682524286E-3"/>
        <n v="0.77568117107111056"/>
        <n v="1.0550304769389177E-2"/>
        <n v="2.9617129230379382E-3"/>
        <n v="1.0078480367062968E-2"/>
        <n v="5.0583313071150852E-3"/>
        <n v="4.6616157397628005E-3"/>
        <n v="3.8837409298269404E-3"/>
        <n v="1.7197475885191302E-2"/>
        <n v="0.48551511299596656"/>
        <n v="7.2542977211185425E-2"/>
        <n v="0.80441939329048107"/>
        <n v="2.4523734879427195E-3"/>
        <n v="1.6423445282288836E-2"/>
        <n v="5.8325152296538799E-2"/>
        <n v="2.8660667666649733E-3"/>
        <n v="2.3528726343044013E-2"/>
        <n v="2.8043016971669308E-2"/>
        <n v="3.4666229142284885E-2"/>
        <n v="3.2102403971677691E-2"/>
        <n v="0.13000625958666634"/>
        <n v="9.8304066143795818E-2"/>
        <n v="1.0311531477195851E-2"/>
        <n v="1.1176015590606148E-3"/>
        <n v="0.7194522629196376"/>
        <n v="2.5853614898785401E-3"/>
        <n v="4.1738182950777622E-2"/>
        <n v="2.1432622059943747E-3"/>
        <n v="3.4627177771246512E-3"/>
        <n v="4.5497782242504003E-2"/>
        <n v="5.2091466137016471E-2"/>
        <n v="3.6286861274486534E-2"/>
        <n v="1.432580244447921E-3"/>
        <n v="0.7950966716909651"/>
        <n v="5.9853686871788624E-2"/>
        <n v="2.3691395482409637E-2"/>
        <n v="1.0851903587649312E-2"/>
        <n v="5.3091706299976784E-3"/>
        <n v="4.1567175652865865E-3"/>
        <n v="3.7840694875102436E-2"/>
        <n v="3.3046733082455239E-2"/>
        <n v="4.456076117106046E-3"/>
        <n v="5.9975373452168636E-3"/>
        <n v="1.8589751432844571E-2"/>
        <n v="4.1671725616069764E-2"/>
        <n v="5.3829655435206118E-2"/>
        <n v="2.7037929915943948E-2"/>
        <n v="1.7378593960855812E-3"/>
        <n v="0.13430680983300031"/>
        <n v="7.6239804723533307E-3"/>
        <n v="0.14287607325533447"/>
        <n v="9.4237448309249048E-3"/>
        <n v="0.27724055922637847"/>
        <n v="2.1357302346345829E-2"/>
        <n v="0.22873414388983268"/>
        <n v="6.4282054371917526E-3"/>
        <n v="8.6669286469321545E-3"/>
        <n v="5.4111379875100918E-3"/>
        <n v="2.6070124726248464E-2"/>
        <n v="2.0660161737431054E-2"/>
        <n v="1.1619027090454435E-3"/>
        <n v="4.8217071853708215E-2"/>
        <n v="8.2315273151975579E-3"/>
        <n v="3.3890481986457624E-2"/>
        <n v="1.857192328671568E-2"/>
        <n v="6.5196591352062667E-4"/>
        <n v="0.12424311376156073"/>
        <n v="1.7270014730171434E-2"/>
        <n v="1.2538152398693977E-2"/>
        <n v="1.8755923625146453E-2"/>
        <n v="0.22591781335397582"/>
        <n v="1.0383579684965223E-3"/>
        <n v="4.8964634995515791E-3"/>
        <n v="2.6088521110718944E-2"/>
        <n v="4.5281513092133773E-3"/>
        <n v="6.6974519222727361E-2"/>
        <n v="3.8027448125322427E-3"/>
        <n v="4.9327622924182158E-3"/>
        <n v="0.25031608035465008"/>
        <n v="7.1092211879055251E-3"/>
        <n v="5.0660504511594543E-3"/>
        <n v="5.5521881145171497E-3"/>
        <n v="0.39108003529970808"/>
        <n v="0.13083161095747009"/>
        <n v="2.2398117390377273E-3"/>
        <n v="2.1988632488160174E-3"/>
        <n v="4.7898970672048827E-3"/>
        <n v="7.4365956374738626E-3"/>
        <n v="7.4618526519414138E-3"/>
        <n v="3.5668811346391961E-3"/>
        <n v="2.6012139288312838E-3"/>
        <n v="3.0168748425915678E-4"/>
        <n v="4.4906870807496287E-4"/>
        <n v="0.27146029517707526"/>
        <n v="1.8671084982454693E-3"/>
        <n v="3.6973986158007834E-4"/>
        <n v="8.2792359112906393E-4"/>
        <n v="0.26254690372148998"/>
        <n v="1.139828462079806E-2"/>
        <n v="2.9521411591907072E-3"/>
        <n v="3.8556494817737429E-3"/>
        <n v="1.2300297449345328E-2"/>
        <n v="3.0426045917098308E-3"/>
        <n v="2.7005296323401838E-2"/>
        <n v="2.3754656452543259E-3"/>
        <n v="3.9150897319861081E-3"/>
        <n v="6.0434908154334459E-3"/>
        <n v="2.1936167216894061E-2"/>
        <n v="2.5959292964700302E-3"/>
      </sharedItems>
    </cacheField>
    <cacheField name="Band" numFmtId="0">
      <sharedItems count="7">
        <s v="G1"/>
        <s v="G5"/>
        <s v="G2"/>
        <s v="G4"/>
        <s v="G3"/>
        <s v="G6"/>
        <s v="G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">
  <r>
    <n v="1.193E-2"/>
    <n v="4.4166973093307149"/>
    <x v="0"/>
    <x v="0"/>
  </r>
  <r>
    <n v="3.4959999999999998E-2"/>
    <n v="3.3179650004697936"/>
    <x v="1"/>
    <x v="0"/>
  </r>
  <r>
    <n v="0.51068000000000002"/>
    <n v="-4.2726498773434499E-2"/>
    <x v="2"/>
    <x v="1"/>
  </r>
  <r>
    <n v="5.2839999999999998E-2"/>
    <n v="2.8861995538541869"/>
    <x v="3"/>
    <x v="2"/>
  </r>
  <r>
    <n v="5.416E-2"/>
    <n v="2.8601307929508382"/>
    <x v="4"/>
    <x v="2"/>
  </r>
  <r>
    <n v="5.0360000000000002E-2"/>
    <n v="2.9368857562313209"/>
    <x v="5"/>
    <x v="2"/>
  </r>
  <r>
    <n v="4.9509999999999998E-2"/>
    <n v="2.9548029717212709"/>
    <x v="6"/>
    <x v="2"/>
  </r>
  <r>
    <n v="2.0799999999999999E-2"/>
    <n v="3.8517829250507893"/>
    <x v="7"/>
    <x v="0"/>
  </r>
  <r>
    <n v="6.6900000000000001E-2"/>
    <n v="2.6353134091057937"/>
    <x v="8"/>
    <x v="2"/>
  </r>
  <r>
    <n v="0.25051000000000001"/>
    <n v="1.0958941353376803"/>
    <x v="9"/>
    <x v="3"/>
  </r>
  <r>
    <n v="3.039E-2"/>
    <n v="3.4627803218645172"/>
    <x v="10"/>
    <x v="0"/>
  </r>
  <r>
    <n v="0.13453999999999999"/>
    <n v="1.8613996048907284"/>
    <x v="11"/>
    <x v="4"/>
  </r>
  <r>
    <n v="1.031E-2"/>
    <n v="4.5642774647507895"/>
    <x v="12"/>
    <x v="0"/>
  </r>
  <r>
    <n v="0.11075"/>
    <n v="2.0831030019033192"/>
    <x v="13"/>
    <x v="2"/>
  </r>
  <r>
    <n v="0.67678000000000005"/>
    <n v="-0.73901305110745896"/>
    <x v="14"/>
    <x v="5"/>
  </r>
  <r>
    <n v="9.8300000000000002E-3"/>
    <n v="4.612437711399572"/>
    <x v="15"/>
    <x v="0"/>
  </r>
  <r>
    <n v="7.5439999999999993E-2"/>
    <n v="2.5059803103419842"/>
    <x v="16"/>
    <x v="2"/>
  </r>
  <r>
    <n v="0.34093000000000001"/>
    <n v="0.65915257279059059"/>
    <x v="17"/>
    <x v="3"/>
  </r>
  <r>
    <n v="0.26402999999999999"/>
    <n v="1.0251266239747343"/>
    <x v="18"/>
    <x v="3"/>
  </r>
  <r>
    <n v="0.42238999999999999"/>
    <n v="0.31296984257875032"/>
    <x v="19"/>
    <x v="1"/>
  </r>
  <r>
    <n v="7.5410000000000005E-2"/>
    <n v="2.5064105037933033"/>
    <x v="20"/>
    <x v="2"/>
  </r>
  <r>
    <n v="8.1379999999999994E-2"/>
    <n v="2.4237430013432752"/>
    <x v="21"/>
    <x v="2"/>
  </r>
  <r>
    <n v="0.11677"/>
    <n v="2.0233794542496328"/>
    <x v="22"/>
    <x v="4"/>
  </r>
  <r>
    <n v="8.566E-2"/>
    <n v="2.3678165213425997"/>
    <x v="23"/>
    <x v="2"/>
  </r>
  <r>
    <n v="5.7860000000000002E-2"/>
    <n v="2.7901275839430593"/>
    <x v="24"/>
    <x v="2"/>
  </r>
  <r>
    <n v="5.4600000000000003E-2"/>
    <n v="2.8515742356082767"/>
    <x v="25"/>
    <x v="2"/>
  </r>
  <r>
    <n v="2.7459999999999998E-2"/>
    <n v="3.5671808054123142"/>
    <x v="26"/>
    <x v="0"/>
  </r>
  <r>
    <n v="1.0030000000000001E-2"/>
    <n v="4.5920940376653423"/>
    <x v="27"/>
    <x v="0"/>
  </r>
  <r>
    <n v="0.28249999999999997"/>
    <n v="0.93209439704728059"/>
    <x v="28"/>
    <x v="3"/>
  </r>
  <r>
    <n v="7.5609999999999997E-2"/>
    <n v="2.5035455109437539"/>
    <x v="29"/>
    <x v="2"/>
  </r>
  <r>
    <n v="0.18412999999999999"/>
    <n v="1.4886129986677086"/>
    <x v="30"/>
    <x v="4"/>
  </r>
  <r>
    <n v="0.11853"/>
    <n v="2.0064248752689151"/>
    <x v="31"/>
    <x v="4"/>
  </r>
  <r>
    <n v="2.1219999999999999E-2"/>
    <n v="3.8313627649904292"/>
    <x v="32"/>
    <x v="0"/>
  </r>
  <r>
    <n v="7.8990000000000005E-2"/>
    <n v="2.4561496317833349"/>
    <x v="33"/>
    <x v="2"/>
  </r>
  <r>
    <n v="0.26980999999999999"/>
    <n v="0.99558676667064461"/>
    <x v="34"/>
    <x v="3"/>
  </r>
  <r>
    <n v="4.2020000000000002E-2"/>
    <n v="3.1266812055093598"/>
    <x v="35"/>
    <x v="0"/>
  </r>
  <r>
    <n v="2.14E-3"/>
    <n v="6.1448071568763432"/>
    <x v="36"/>
    <x v="0"/>
  </r>
  <r>
    <n v="4.7200000000000002E-3"/>
    <n v="5.3512153050087718"/>
    <x v="37"/>
    <x v="0"/>
  </r>
  <r>
    <n v="0.1129"/>
    <n v="2.0614552443709249"/>
    <x v="38"/>
    <x v="4"/>
  </r>
  <r>
    <n v="3.5200000000000002E-2"/>
    <n v="3.3108747433688697"/>
    <x v="39"/>
    <x v="0"/>
  </r>
  <r>
    <n v="4.1730000000000003E-2"/>
    <n v="3.1339092808195188"/>
    <x v="40"/>
    <x v="0"/>
  </r>
  <r>
    <n v="3.8559999999999997E-2"/>
    <n v="3.216216690843273"/>
    <x v="41"/>
    <x v="0"/>
  </r>
  <r>
    <n v="0.20694000000000001"/>
    <n v="1.3434699846386906"/>
    <x v="42"/>
    <x v="3"/>
  </r>
  <r>
    <n v="1.2449999999999999E-2"/>
    <n v="4.3735065054941504"/>
    <x v="43"/>
    <x v="0"/>
  </r>
  <r>
    <n v="0.15081"/>
    <n v="1.7282621875981945"/>
    <x v="44"/>
    <x v="4"/>
  </r>
  <r>
    <n v="0.11905"/>
    <n v="2.0014572977037663"/>
    <x v="45"/>
    <x v="4"/>
  </r>
  <r>
    <n v="0.17138"/>
    <n v="1.5758783532097544"/>
    <x v="46"/>
    <x v="4"/>
  </r>
  <r>
    <n v="0.12605"/>
    <n v="1.9363445121471667"/>
    <x v="47"/>
    <x v="4"/>
  </r>
  <r>
    <n v="0.19461000000000001"/>
    <n v="1.4203290762564857"/>
    <x v="48"/>
    <x v="4"/>
  </r>
  <r>
    <n v="0.28715000000000002"/>
    <n v="0.90926629228966438"/>
    <x v="49"/>
    <x v="3"/>
  </r>
  <r>
    <n v="0.90329999999999999"/>
    <n v="-2.2344413216965489"/>
    <x v="50"/>
    <x v="6"/>
  </r>
  <r>
    <n v="8.6379999999999998E-2"/>
    <n v="2.3586585625481411"/>
    <x v="51"/>
    <x v="2"/>
  </r>
  <r>
    <n v="0.10168000000000001"/>
    <n v="2.1786957253830845"/>
    <x v="52"/>
    <x v="2"/>
  </r>
  <r>
    <n v="7.8140000000000001E-2"/>
    <n v="2.4678912785824423"/>
    <x v="53"/>
    <x v="2"/>
  </r>
  <r>
    <n v="0.20426"/>
    <n v="1.3598788071723695"/>
    <x v="54"/>
    <x v="4"/>
  </r>
  <r>
    <n v="3.5990000000000001E-2"/>
    <n v="3.287860545909786"/>
    <x v="55"/>
    <x v="0"/>
  </r>
  <r>
    <n v="0.23555999999999999"/>
    <n v="1.1771778815444105"/>
    <x v="56"/>
    <x v="3"/>
  </r>
  <r>
    <n v="4.3189999999999999E-2"/>
    <n v="3.0979958476741576"/>
    <x v="57"/>
    <x v="0"/>
  </r>
  <r>
    <n v="0.24875"/>
    <n v="1.1052901098107153"/>
    <x v="58"/>
    <x v="3"/>
  </r>
  <r>
    <n v="0.21987000000000001"/>
    <n v="1.2664241098570896"/>
    <x v="59"/>
    <x v="3"/>
  </r>
  <r>
    <n v="8.8760000000000006E-2"/>
    <n v="2.3288702112613606"/>
    <x v="60"/>
    <x v="2"/>
  </r>
  <r>
    <n v="0.11888"/>
    <n v="2.0030792445447223"/>
    <x v="61"/>
    <x v="4"/>
  </r>
  <r>
    <n v="0.17530000000000001"/>
    <n v="1.5485208919121209"/>
    <x v="62"/>
    <x v="4"/>
  </r>
  <r>
    <n v="8.5000000000000006E-2"/>
    <n v="2.3762728087852047"/>
    <x v="63"/>
    <x v="2"/>
  </r>
  <r>
    <n v="4.5420000000000002E-2"/>
    <n v="3.0453189164911625"/>
    <x v="64"/>
    <x v="2"/>
  </r>
  <r>
    <n v="6.7970000000000003E-2"/>
    <n v="2.6182985716501963"/>
    <x v="65"/>
    <x v="2"/>
  </r>
  <r>
    <n v="6.5680000000000002E-2"/>
    <n v="2.6550245268261374"/>
    <x v="66"/>
    <x v="2"/>
  </r>
  <r>
    <n v="8.6889999999999995E-2"/>
    <n v="2.3522134044142002"/>
    <x v="67"/>
    <x v="2"/>
  </r>
  <r>
    <n v="0.1182"/>
    <n v="2.0095871679518393"/>
    <x v="68"/>
    <x v="4"/>
  </r>
  <r>
    <n v="0.27977999999999997"/>
    <n v="0.9455531408447807"/>
    <x v="69"/>
    <x v="3"/>
  </r>
  <r>
    <n v="1.55E-2"/>
    <n v="4.1512938741539793"/>
    <x v="70"/>
    <x v="0"/>
  </r>
  <r>
    <n v="0.34114"/>
    <n v="0.65821811862495005"/>
    <x v="71"/>
    <x v="3"/>
  </r>
  <r>
    <n v="1.8790000000000001E-2"/>
    <n v="3.955461690509146"/>
    <x v="72"/>
    <x v="0"/>
  </r>
  <r>
    <n v="0.4234"/>
    <n v="0.30883142650353701"/>
    <x v="73"/>
    <x v="1"/>
  </r>
  <r>
    <n v="0.14119999999999999"/>
    <n v="1.8053587409454843"/>
    <x v="74"/>
    <x v="4"/>
  </r>
  <r>
    <n v="0.93537999999999999"/>
    <n v="-2.6724289034395694"/>
    <x v="75"/>
    <x v="6"/>
  </r>
  <r>
    <n v="2.3470000000000001E-2"/>
    <n v="3.7282824619480972"/>
    <x v="76"/>
    <x v="0"/>
  </r>
  <r>
    <n v="3.4599999999999999E-2"/>
    <n v="3.3286888411627142"/>
    <x v="77"/>
    <x v="0"/>
  </r>
  <r>
    <n v="2.7830000000000001E-2"/>
    <n v="3.553416110749263"/>
    <x v="78"/>
    <x v="0"/>
  </r>
  <r>
    <n v="0.97162999999999999"/>
    <n v="-3.5336428247346512"/>
    <x v="79"/>
    <x v="6"/>
  </r>
  <r>
    <n v="9.5519999999999994E-2"/>
    <n v="2.2480245432826886"/>
    <x v="80"/>
    <x v="2"/>
  </r>
  <r>
    <n v="2.8580000000000001E-2"/>
    <n v="3.5260517460388239"/>
    <x v="81"/>
    <x v="0"/>
  </r>
  <r>
    <n v="9.1600000000000001E-2"/>
    <n v="2.294253538551319"/>
    <x v="82"/>
    <x v="2"/>
  </r>
  <r>
    <n v="4.7940000000000003E-2"/>
    <n v="2.9886778290092058"/>
    <x v="83"/>
    <x v="2"/>
  </r>
  <r>
    <n v="4.4330000000000001E-2"/>
    <n v="3.0707510164187308"/>
    <x v="84"/>
    <x v="0"/>
  </r>
  <r>
    <n v="3.7179999999999998E-2"/>
    <n v="3.2540954961460256"/>
    <x v="85"/>
    <x v="0"/>
  </r>
  <r>
    <n v="0.14771000000000001"/>
    <n v="1.752675952449033"/>
    <x v="86"/>
    <x v="4"/>
  </r>
  <r>
    <n v="0.90334999999999999"/>
    <n v="-2.2350138695655959"/>
    <x v="87"/>
    <x v="6"/>
  </r>
  <r>
    <n v="0.43652000000000002"/>
    <n v="0.25529764714721703"/>
    <x v="88"/>
    <x v="1"/>
  </r>
  <r>
    <n v="0.97604000000000002"/>
    <n v="-3.7071177959325969"/>
    <x v="89"/>
    <x v="6"/>
  </r>
  <r>
    <n v="2.3769999999999999E-2"/>
    <n v="3.7152739330162432"/>
    <x v="90"/>
    <x v="0"/>
  </r>
  <r>
    <n v="0.14191000000000001"/>
    <n v="1.7995159352453043"/>
    <x v="91"/>
    <x v="4"/>
  </r>
  <r>
    <n v="0.38020999999999999"/>
    <n v="0.48865697933185653"/>
    <x v="92"/>
    <x v="1"/>
  </r>
  <r>
    <n v="2.768E-2"/>
    <n v="3.5589748376375763"/>
    <x v="93"/>
    <x v="0"/>
  </r>
  <r>
    <n v="0.19267000000000001"/>
    <n v="1.4327536257245777"/>
    <x v="94"/>
    <x v="4"/>
  </r>
  <r>
    <n v="0.22225"/>
    <n v="1.2526022613837324"/>
    <x v="95"/>
    <x v="3"/>
  </r>
  <r>
    <n v="0.26235999999999998"/>
    <n v="1.0337382942813838"/>
    <x v="96"/>
    <x v="3"/>
  </r>
  <r>
    <n v="0.24726999999999999"/>
    <n v="1.1132257407436936"/>
    <x v="97"/>
    <x v="3"/>
  </r>
  <r>
    <n v="0.59677999999999998"/>
    <n v="-0.39206621756210086"/>
    <x v="98"/>
    <x v="5"/>
  </r>
  <r>
    <n v="0.51917999999999997"/>
    <n v="-7.6757664153079441E-2"/>
    <x v="99"/>
    <x v="1"/>
  </r>
  <r>
    <n v="9.3539999999999998E-2"/>
    <n v="2.2711577511651844"/>
    <x v="100"/>
    <x v="2"/>
  </r>
  <r>
    <n v="1.0959999999999999E-2"/>
    <n v="4.5024824941788024"/>
    <x v="101"/>
    <x v="0"/>
  </r>
  <r>
    <n v="0.96211999999999998"/>
    <n v="-3.2347159146931661"/>
    <x v="102"/>
    <x v="6"/>
  </r>
  <r>
    <n v="2.503E-2"/>
    <n v="3.6623315958500129"/>
    <x v="103"/>
    <x v="0"/>
  </r>
  <r>
    <n v="0.30137999999999998"/>
    <n v="0.8407350336588737"/>
    <x v="104"/>
    <x v="3"/>
  </r>
  <r>
    <n v="2.0830000000000001E-2"/>
    <n v="3.8503110187609488"/>
    <x v="105"/>
    <x v="0"/>
  </r>
  <r>
    <n v="3.3270000000000001E-2"/>
    <n v="3.369263152371289"/>
    <x v="106"/>
    <x v="0"/>
  </r>
  <r>
    <n v="0.32069999999999999"/>
    <n v="0.75055674949814721"/>
    <x v="107"/>
    <x v="3"/>
  </r>
  <r>
    <n v="0.35244999999999999"/>
    <n v="0.60828724244971177"/>
    <x v="108"/>
    <x v="3"/>
  </r>
  <r>
    <n v="0.27162999999999998"/>
    <n v="0.9863683147054092"/>
    <x v="109"/>
    <x v="3"/>
  </r>
  <r>
    <n v="1.401E-2"/>
    <n v="4.2538748522144596"/>
    <x v="110"/>
    <x v="0"/>
  </r>
  <r>
    <n v="0.97463999999999995"/>
    <n v="-3.6488950424771249"/>
    <x v="111"/>
    <x v="6"/>
  </r>
  <r>
    <n v="0.38671"/>
    <n v="0.4611628491464656"/>
    <x v="112"/>
    <x v="1"/>
  </r>
  <r>
    <n v="0.19377"/>
    <n v="1.4256971728882619"/>
    <x v="113"/>
    <x v="4"/>
  </r>
  <r>
    <n v="9.801E-2"/>
    <n v="2.2195339192455785"/>
    <x v="114"/>
    <x v="2"/>
  </r>
  <r>
    <n v="5.0209999999999998E-2"/>
    <n v="2.9400266974806595"/>
    <x v="115"/>
    <x v="2"/>
  </r>
  <r>
    <n v="3.9699999999999999E-2"/>
    <n v="3.1858945479507823"/>
    <x v="116"/>
    <x v="0"/>
  </r>
  <r>
    <n v="0.28033000000000002"/>
    <n v="0.94282529298221673"/>
    <x v="117"/>
    <x v="3"/>
  </r>
  <r>
    <n v="0.25289"/>
    <n v="1.0832578184077262"/>
    <x v="118"/>
    <x v="3"/>
  </r>
  <r>
    <n v="4.2450000000000002E-2"/>
    <n v="3.1160510262552124"/>
    <x v="119"/>
    <x v="0"/>
  </r>
  <r>
    <n v="5.6390000000000003E-2"/>
    <n v="2.8174211073691682"/>
    <x v="120"/>
    <x v="2"/>
  </r>
  <r>
    <n v="0.15797"/>
    <n v="1.6734105014802887"/>
    <x v="121"/>
    <x v="4"/>
  </r>
  <r>
    <n v="0.30103000000000002"/>
    <n v="0.84239789530139175"/>
    <x v="122"/>
    <x v="3"/>
  </r>
  <r>
    <n v="0.3604"/>
    <n v="0.57362845522561623"/>
    <x v="123"/>
    <x v="3"/>
  </r>
  <r>
    <n v="0.21582999999999999"/>
    <n v="1.2901347728085359"/>
    <x v="124"/>
    <x v="3"/>
  </r>
  <r>
    <n v="1.695E-2"/>
    <n v="4.0603921497270408"/>
    <x v="125"/>
    <x v="0"/>
  </r>
  <r>
    <n v="0.60577000000000003"/>
    <n v="-0.42956588074910446"/>
    <x v="126"/>
    <x v="5"/>
  </r>
  <r>
    <n v="7.0709999999999995E-2"/>
    <n v="2.5758338481015568"/>
    <x v="127"/>
    <x v="2"/>
  </r>
  <r>
    <n v="0.62278"/>
    <n v="-0.50136475478329057"/>
    <x v="128"/>
    <x v="5"/>
  </r>
  <r>
    <n v="8.6110000000000006E-2"/>
    <n v="2.3620846653940113"/>
    <x v="129"/>
    <x v="2"/>
  </r>
  <r>
    <n v="0.79162999999999994"/>
    <n v="-1.3347787653564398"/>
    <x v="130"/>
    <x v="6"/>
  </r>
  <r>
    <n v="0.17773"/>
    <n v="1.5318032635040388"/>
    <x v="131"/>
    <x v="4"/>
  </r>
  <r>
    <n v="0.74602000000000002"/>
    <n v="-1.0774968857349758"/>
    <x v="132"/>
    <x v="5"/>
  </r>
  <r>
    <n v="6.0220000000000003E-2"/>
    <n v="2.7476412822650378"/>
    <x v="133"/>
    <x v="2"/>
  </r>
  <r>
    <n v="7.9689999999999997E-2"/>
    <n v="2.446566462398069"/>
    <x v="134"/>
    <x v="2"/>
  </r>
  <r>
    <n v="5.1130000000000002E-2"/>
    <n v="2.9209003938331697"/>
    <x v="135"/>
    <x v="2"/>
  </r>
  <r>
    <n v="0.20956"/>
    <n v="1.327579657900583"/>
    <x v="136"/>
    <x v="3"/>
  </r>
  <r>
    <n v="0.17283000000000001"/>
    <n v="1.5657017837595375"/>
    <x v="137"/>
    <x v="4"/>
  </r>
  <r>
    <n v="1.1390000000000001E-2"/>
    <n v="4.4635641386771949"/>
    <x v="138"/>
    <x v="0"/>
  </r>
  <r>
    <n v="0.33411000000000002"/>
    <n v="0.6896542116608374"/>
    <x v="139"/>
    <x v="3"/>
  </r>
  <r>
    <n v="7.596E-2"/>
    <n v="2.498548474803902"/>
    <x v="140"/>
    <x v="2"/>
  </r>
  <r>
    <n v="0.25785000000000002"/>
    <n v="1.0571733585738059"/>
    <x v="141"/>
    <x v="3"/>
  </r>
  <r>
    <n v="0.15784000000000001"/>
    <n v="1.6743881582287095"/>
    <x v="142"/>
    <x v="4"/>
  </r>
  <r>
    <n v="6.4200000000000004E-3"/>
    <n v="5.0418964644502804"/>
    <x v="143"/>
    <x v="0"/>
  </r>
  <r>
    <n v="0.58421999999999996"/>
    <n v="-0.34012134999975163"/>
    <x v="144"/>
    <x v="1"/>
  </r>
  <r>
    <n v="0.14824999999999999"/>
    <n v="1.7483930186632413"/>
    <x v="145"/>
    <x v="4"/>
  </r>
  <r>
    <n v="0.11171"/>
    <n v="2.0733920386714666"/>
    <x v="146"/>
    <x v="4"/>
  </r>
  <r>
    <n v="0.15917999999999999"/>
    <n v="1.6643419687717831"/>
    <x v="147"/>
    <x v="4"/>
  </r>
  <r>
    <n v="0.74297000000000002"/>
    <n v="-1.0614628574518505"/>
    <x v="148"/>
    <x v="5"/>
  </r>
  <r>
    <n v="1.0189999999999999E-2"/>
    <n v="4.5761061582832383"/>
    <x v="149"/>
    <x v="0"/>
  </r>
  <r>
    <n v="4.6469999999999997E-2"/>
    <n v="3.0213639444795746"/>
    <x v="150"/>
    <x v="2"/>
  </r>
  <r>
    <n v="0.20968000000000001"/>
    <n v="1.3268553677210677"/>
    <x v="151"/>
    <x v="3"/>
  </r>
  <r>
    <n v="4.3110000000000002E-2"/>
    <n v="3.0999334535587768"/>
    <x v="152"/>
    <x v="0"/>
  </r>
  <r>
    <n v="0.41553000000000001"/>
    <n v="0.34115063982019672"/>
    <x v="153"/>
    <x v="1"/>
  </r>
  <r>
    <n v="3.6429999999999997E-2"/>
    <n v="3.2752525259852829"/>
    <x v="154"/>
    <x v="0"/>
  </r>
  <r>
    <n v="4.6800000000000001E-2"/>
    <n v="3.0139415423009859"/>
    <x v="155"/>
    <x v="2"/>
  </r>
  <r>
    <n v="0.76781999999999995"/>
    <n v="-1.1960423977676695"/>
    <x v="156"/>
    <x v="5"/>
  </r>
  <r>
    <n v="6.6220000000000001E-2"/>
    <n v="2.6462583323258735"/>
    <x v="157"/>
    <x v="2"/>
  </r>
  <r>
    <n v="4.8009999999999997E-2"/>
    <n v="2.9871452079916661"/>
    <x v="158"/>
    <x v="2"/>
  </r>
  <r>
    <n v="5.2400000000000002E-2"/>
    <n v="2.8950258809576339"/>
    <x v="159"/>
    <x v="2"/>
  </r>
  <r>
    <n v="0.86414999999999997"/>
    <n v="-1.8501950289741449"/>
    <x v="160"/>
    <x v="6"/>
  </r>
  <r>
    <n v="5.2400000000000002E-2"/>
    <n v="2.8950258809576339"/>
    <x v="159"/>
    <x v="2"/>
  </r>
  <r>
    <n v="0.59853000000000001"/>
    <n v="-0.39934383826067366"/>
    <x v="161"/>
    <x v="5"/>
  </r>
  <r>
    <n v="2.1749999999999999E-2"/>
    <n v="3.8061515035558289"/>
    <x v="162"/>
    <x v="0"/>
  </r>
  <r>
    <n v="2.1360000000000001E-2"/>
    <n v="3.8246438386466668"/>
    <x v="163"/>
    <x v="0"/>
  </r>
  <r>
    <n v="4.5499999999999999E-2"/>
    <n v="3.0434753172088977"/>
    <x v="164"/>
    <x v="2"/>
  </r>
  <r>
    <n v="6.9080000000000003E-2"/>
    <n v="2.600908091197986"/>
    <x v="165"/>
    <x v="2"/>
  </r>
  <r>
    <n v="6.93E-2"/>
    <n v="2.5974920849958072"/>
    <x v="166"/>
    <x v="2"/>
  </r>
  <r>
    <n v="3.424E-2"/>
    <n v="3.339520804865888"/>
    <x v="167"/>
    <x v="0"/>
  </r>
  <r>
    <n v="2.5180000000000001E-2"/>
    <n v="3.6562028099535127"/>
    <x v="168"/>
    <x v="0"/>
  </r>
  <r>
    <n v="2.98E-3"/>
    <n v="5.8128475294238644"/>
    <x v="169"/>
    <x v="0"/>
  </r>
  <r>
    <n v="4.4299999999999999E-3"/>
    <n v="5.4149158533990303"/>
    <x v="170"/>
    <x v="0"/>
  </r>
  <r>
    <n v="0.78680000000000005"/>
    <n v="-1.3057433942232148"/>
    <x v="171"/>
    <x v="5"/>
  </r>
  <r>
    <n v="1.8190000000000001E-2"/>
    <n v="3.988525814415854"/>
    <x v="172"/>
    <x v="0"/>
  </r>
  <r>
    <n v="3.65E-3"/>
    <n v="5.6093714338841929"/>
    <x v="173"/>
    <x v="0"/>
  </r>
  <r>
    <n v="8.1399999999999997E-3"/>
    <n v="4.8027917882785269"/>
    <x v="174"/>
    <x v="0"/>
  </r>
  <r>
    <n v="0.77905999999999997"/>
    <n v="-1.2601968932834404"/>
    <x v="175"/>
    <x v="5"/>
  </r>
  <r>
    <n v="0.10249"/>
    <n v="2.1698590295181717"/>
    <x v="176"/>
    <x v="2"/>
  </r>
  <r>
    <n v="2.8490000000000001E-2"/>
    <n v="3.5292984136154839"/>
    <x v="177"/>
    <x v="0"/>
  </r>
  <r>
    <n v="3.6920000000000001E-2"/>
    <n v="3.2613830724409767"/>
    <x v="178"/>
    <x v="0"/>
  </r>
  <r>
    <n v="0.10979999999999999"/>
    <n v="2.0927856275063239"/>
    <x v="179"/>
    <x v="2"/>
  </r>
  <r>
    <n v="2.9340000000000001E-2"/>
    <n v="3.4990244797781771"/>
    <x v="180"/>
    <x v="0"/>
  </r>
  <r>
    <n v="0.21562000000000001"/>
    <n v="1.2913759976908517"/>
    <x v="181"/>
    <x v="3"/>
  </r>
  <r>
    <n v="2.3040000000000001E-2"/>
    <n v="3.7472138737188225"/>
    <x v="182"/>
    <x v="0"/>
  </r>
  <r>
    <n v="3.7470000000000003E-2"/>
    <n v="3.2460246217017743"/>
    <x v="183"/>
    <x v="0"/>
  </r>
  <r>
    <n v="5.6800000000000003E-2"/>
    <n v="2.8097420234960553"/>
    <x v="184"/>
    <x v="2"/>
  </r>
  <r>
    <n v="0.18176"/>
    <n v="1.5044685565700351"/>
    <x v="185"/>
    <x v="4"/>
  </r>
  <r>
    <n v="2.513E-2"/>
    <n v="3.6582417772193341"/>
    <x v="18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I71:K78" firstHeaderRow="0" firstDataRow="1" firstDataCol="1"/>
  <pivotFields count="4">
    <pivotField compact="0" numFmtId="10" outline="0" showAll="0" defaultSubtotal="0"/>
    <pivotField compact="0" outline="0" showAll="0" defaultSubtotal="0"/>
    <pivotField dataField="1" compact="0" numFmtId="10" outline="0" showAll="0" defaultSubtotal="0">
      <items count="187">
        <item x="36"/>
        <item x="169"/>
        <item x="173"/>
        <item x="170"/>
        <item x="37"/>
        <item x="143"/>
        <item x="174"/>
        <item x="15"/>
        <item x="27"/>
        <item x="149"/>
        <item x="12"/>
        <item x="101"/>
        <item x="138"/>
        <item x="0"/>
        <item x="43"/>
        <item x="110"/>
        <item x="70"/>
        <item x="125"/>
        <item x="172"/>
        <item x="72"/>
        <item x="7"/>
        <item x="105"/>
        <item x="32"/>
        <item x="163"/>
        <item x="162"/>
        <item x="182"/>
        <item x="76"/>
        <item x="90"/>
        <item x="103"/>
        <item x="186"/>
        <item x="168"/>
        <item x="26"/>
        <item x="93"/>
        <item x="78"/>
        <item x="177"/>
        <item x="81"/>
        <item x="180"/>
        <item x="10"/>
        <item x="106"/>
        <item x="167"/>
        <item x="77"/>
        <item x="1"/>
        <item x="39"/>
        <item x="55"/>
        <item x="154"/>
        <item x="178"/>
        <item x="85"/>
        <item x="183"/>
        <item x="41"/>
        <item x="116"/>
        <item x="40"/>
        <item x="35"/>
        <item x="119"/>
        <item x="152"/>
        <item x="57"/>
        <item x="84"/>
        <item x="64"/>
        <item x="164"/>
        <item x="150"/>
        <item x="155"/>
        <item x="83"/>
        <item x="158"/>
        <item x="6"/>
        <item x="115"/>
        <item x="5"/>
        <item x="135"/>
        <item x="159"/>
        <item x="3"/>
        <item x="4"/>
        <item x="25"/>
        <item x="120"/>
        <item x="184"/>
        <item x="24"/>
        <item x="133"/>
        <item x="66"/>
        <item x="157"/>
        <item x="8"/>
        <item x="65"/>
        <item x="165"/>
        <item x="166"/>
        <item x="127"/>
        <item x="20"/>
        <item x="16"/>
        <item x="29"/>
        <item x="140"/>
        <item x="53"/>
        <item x="33"/>
        <item x="134"/>
        <item x="21"/>
        <item x="63"/>
        <item x="23"/>
        <item x="129"/>
        <item x="51"/>
        <item x="67"/>
        <item x="60"/>
        <item x="82"/>
        <item x="100"/>
        <item x="80"/>
        <item x="114"/>
        <item x="52"/>
        <item x="176"/>
        <item x="179"/>
        <item x="13"/>
        <item x="146"/>
        <item x="38"/>
        <item x="22"/>
        <item x="68"/>
        <item x="31"/>
        <item x="61"/>
        <item x="45"/>
        <item x="47"/>
        <item x="11"/>
        <item x="74"/>
        <item x="91"/>
        <item x="86"/>
        <item x="145"/>
        <item x="44"/>
        <item x="142"/>
        <item x="121"/>
        <item x="147"/>
        <item x="46"/>
        <item x="137"/>
        <item x="62"/>
        <item x="131"/>
        <item x="185"/>
        <item x="30"/>
        <item x="94"/>
        <item x="113"/>
        <item x="48"/>
        <item x="54"/>
        <item x="42"/>
        <item x="136"/>
        <item x="151"/>
        <item x="181"/>
        <item x="124"/>
        <item x="59"/>
        <item x="95"/>
        <item x="56"/>
        <item x="97"/>
        <item x="58"/>
        <item x="9"/>
        <item x="118"/>
        <item x="141"/>
        <item x="96"/>
        <item x="18"/>
        <item x="34"/>
        <item x="109"/>
        <item x="69"/>
        <item x="117"/>
        <item x="28"/>
        <item x="49"/>
        <item x="122"/>
        <item x="104"/>
        <item x="107"/>
        <item x="139"/>
        <item x="17"/>
        <item x="71"/>
        <item x="108"/>
        <item x="123"/>
        <item x="92"/>
        <item x="112"/>
        <item x="153"/>
        <item x="19"/>
        <item x="73"/>
        <item x="88"/>
        <item x="2"/>
        <item x="99"/>
        <item x="144"/>
        <item x="98"/>
        <item x="161"/>
        <item x="126"/>
        <item x="128"/>
        <item x="14"/>
        <item x="148"/>
        <item x="132"/>
        <item x="156"/>
        <item x="175"/>
        <item x="171"/>
        <item x="130"/>
        <item x="160"/>
        <item x="50"/>
        <item x="87"/>
        <item x="75"/>
        <item x="102"/>
        <item x="79"/>
        <item x="111"/>
        <item x="89"/>
      </items>
    </pivotField>
    <pivotField axis="axisRow" compact="0" outline="0" showAll="0" defaultSubtotal="0">
      <items count="7">
        <item x="0"/>
        <item x="2"/>
        <item x="4"/>
        <item x="3"/>
        <item x="1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Min of PD calibrate" fld="2" subtotal="min" baseField="3" baseItem="1"/>
    <dataField name="Max of PD calibrate" fld="2" subtotal="max" baseField="3" baseItem="1"/>
  </dataFields>
  <formats count="10">
    <format dxfId="9">
      <pivotArea outline="0" collapsedLevelsAreSubtotals="1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3" count="0"/>
        </references>
      </pivotArea>
    </format>
    <format dxfId="6">
      <pivotArea field="3" type="button" dataOnly="0" labelOnly="1" outline="0" axis="axisRow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5"/>
  <sheetViews>
    <sheetView topLeftCell="A16" zoomScaleNormal="100" workbookViewId="0">
      <selection activeCell="A14" sqref="A14"/>
    </sheetView>
  </sheetViews>
  <sheetFormatPr defaultRowHeight="12.75" x14ac:dyDescent="0.25"/>
  <cols>
    <col min="1" max="1" width="16.28515625" style="2" bestFit="1" customWidth="1"/>
    <col min="2" max="2" width="15.85546875" style="1" bestFit="1" customWidth="1"/>
    <col min="3" max="3" width="18.28515625" style="1" bestFit="1" customWidth="1"/>
    <col min="4" max="4" width="18.5703125" style="1" bestFit="1" customWidth="1"/>
    <col min="5" max="5" width="12.140625" style="1" bestFit="1" customWidth="1"/>
    <col min="6" max="6" width="13.85546875" style="1" bestFit="1" customWidth="1"/>
    <col min="7" max="11" width="13.7109375" style="1" customWidth="1"/>
    <col min="12" max="12" width="6.42578125" style="1" bestFit="1" customWidth="1"/>
    <col min="13" max="13" width="9.7109375" style="1" bestFit="1" customWidth="1"/>
    <col min="14" max="14" width="31.28515625" style="1" bestFit="1" customWidth="1"/>
    <col min="15" max="16" width="9.140625" style="1"/>
    <col min="17" max="17" width="6.28515625" style="1" bestFit="1" customWidth="1"/>
    <col min="18" max="16384" width="9.140625" style="1"/>
  </cols>
  <sheetData>
    <row r="1" spans="1:13" x14ac:dyDescent="0.25">
      <c r="B1" s="10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29"/>
      <c r="M1" s="29"/>
    </row>
    <row r="2" spans="1:13" x14ac:dyDescent="0.25">
      <c r="B2" s="105" t="s">
        <v>1</v>
      </c>
      <c r="C2" s="105"/>
      <c r="D2" s="105"/>
      <c r="E2" s="105"/>
      <c r="F2" s="106"/>
      <c r="G2" s="107" t="s">
        <v>7</v>
      </c>
      <c r="H2" s="107"/>
      <c r="I2" s="107"/>
      <c r="J2" s="107"/>
      <c r="K2" s="107"/>
      <c r="L2" s="29"/>
      <c r="M2" s="29"/>
    </row>
    <row r="3" spans="1:13" ht="36" x14ac:dyDescent="0.25">
      <c r="A3" s="8" t="s">
        <v>108</v>
      </c>
      <c r="B3" s="9" t="s">
        <v>2</v>
      </c>
      <c r="C3" s="9" t="s">
        <v>3</v>
      </c>
      <c r="D3" s="9" t="s">
        <v>4</v>
      </c>
      <c r="E3" s="9" t="s">
        <v>5</v>
      </c>
      <c r="F3" s="10" t="s">
        <v>6</v>
      </c>
      <c r="G3" s="11" t="s">
        <v>2</v>
      </c>
      <c r="H3" s="11" t="s">
        <v>3</v>
      </c>
      <c r="I3" s="11" t="s">
        <v>4</v>
      </c>
      <c r="J3" s="11" t="s">
        <v>5</v>
      </c>
      <c r="K3" s="11" t="s">
        <v>6</v>
      </c>
      <c r="L3" s="30" t="s">
        <v>159</v>
      </c>
      <c r="M3" s="30" t="s">
        <v>156</v>
      </c>
    </row>
    <row r="4" spans="1:13" x14ac:dyDescent="0.25">
      <c r="A4" s="3">
        <v>1981</v>
      </c>
      <c r="B4" s="12">
        <v>1062</v>
      </c>
      <c r="C4" s="13">
        <v>97.36</v>
      </c>
      <c r="D4" s="13">
        <v>1.41</v>
      </c>
      <c r="E4" s="13">
        <v>0</v>
      </c>
      <c r="F4" s="14">
        <v>1.22</v>
      </c>
      <c r="G4" s="15">
        <v>321</v>
      </c>
      <c r="H4" s="15">
        <v>4.67</v>
      </c>
      <c r="I4" s="15">
        <v>90.03</v>
      </c>
      <c r="J4" s="15">
        <v>0.62</v>
      </c>
      <c r="K4" s="15">
        <v>4.67</v>
      </c>
      <c r="L4" s="31">
        <f>J4*G4/100</f>
        <v>1.9902000000000002</v>
      </c>
      <c r="M4" s="29"/>
    </row>
    <row r="5" spans="1:13" x14ac:dyDescent="0.25">
      <c r="A5" s="3">
        <v>1982</v>
      </c>
      <c r="B5" s="12">
        <v>1091</v>
      </c>
      <c r="C5" s="13">
        <v>93.58</v>
      </c>
      <c r="D5" s="13">
        <v>3.02</v>
      </c>
      <c r="E5" s="13">
        <v>0.18</v>
      </c>
      <c r="F5" s="14">
        <v>3.21</v>
      </c>
      <c r="G5" s="15">
        <v>340</v>
      </c>
      <c r="H5" s="15">
        <v>2.65</v>
      </c>
      <c r="I5" s="15">
        <v>80.59</v>
      </c>
      <c r="J5" s="15">
        <v>4.41</v>
      </c>
      <c r="K5" s="15">
        <v>12.35</v>
      </c>
      <c r="L5" s="31">
        <f t="shared" ref="L5:L39" si="0">J5*G5/100</f>
        <v>14.994000000000002</v>
      </c>
      <c r="M5" s="29"/>
    </row>
    <row r="6" spans="1:13" x14ac:dyDescent="0.25">
      <c r="A6" s="3">
        <v>1983</v>
      </c>
      <c r="B6" s="12">
        <v>1112</v>
      </c>
      <c r="C6" s="13">
        <v>94.15</v>
      </c>
      <c r="D6" s="13">
        <v>2.0699999999999998</v>
      </c>
      <c r="E6" s="13">
        <v>0.09</v>
      </c>
      <c r="F6" s="14">
        <v>3.69</v>
      </c>
      <c r="G6" s="15">
        <v>340</v>
      </c>
      <c r="H6" s="15">
        <v>3.24</v>
      </c>
      <c r="I6" s="15">
        <v>83.53</v>
      </c>
      <c r="J6" s="15">
        <v>2.94</v>
      </c>
      <c r="K6" s="15">
        <v>10.29</v>
      </c>
      <c r="L6" s="31">
        <f t="shared" si="0"/>
        <v>9.9960000000000004</v>
      </c>
      <c r="M6" s="29"/>
    </row>
    <row r="7" spans="1:13" x14ac:dyDescent="0.25">
      <c r="A7" s="7">
        <v>1984</v>
      </c>
      <c r="B7" s="16">
        <v>1172</v>
      </c>
      <c r="C7" s="17">
        <v>95.31</v>
      </c>
      <c r="D7" s="17">
        <v>2.2999999999999998</v>
      </c>
      <c r="E7" s="17">
        <v>0.17</v>
      </c>
      <c r="F7" s="18">
        <v>2.2200000000000002</v>
      </c>
      <c r="G7" s="17">
        <v>367</v>
      </c>
      <c r="H7" s="17">
        <v>4.9000000000000004</v>
      </c>
      <c r="I7" s="17">
        <v>86.92</v>
      </c>
      <c r="J7" s="17">
        <v>3.27</v>
      </c>
      <c r="K7" s="17">
        <v>4.9000000000000004</v>
      </c>
      <c r="L7" s="31">
        <f t="shared" si="0"/>
        <v>12.0009</v>
      </c>
      <c r="M7" s="29"/>
    </row>
    <row r="8" spans="1:13" x14ac:dyDescent="0.25">
      <c r="A8" s="7">
        <v>1985</v>
      </c>
      <c r="B8" s="16">
        <v>1209</v>
      </c>
      <c r="C8" s="17">
        <v>93.05</v>
      </c>
      <c r="D8" s="17">
        <v>3.56</v>
      </c>
      <c r="E8" s="17">
        <v>0</v>
      </c>
      <c r="F8" s="18">
        <v>3.39</v>
      </c>
      <c r="G8" s="17">
        <v>417</v>
      </c>
      <c r="H8" s="17">
        <v>3.84</v>
      </c>
      <c r="I8" s="17">
        <v>85.85</v>
      </c>
      <c r="J8" s="17">
        <v>4.32</v>
      </c>
      <c r="K8" s="17">
        <v>6</v>
      </c>
      <c r="L8" s="31">
        <f t="shared" si="0"/>
        <v>18.014400000000002</v>
      </c>
      <c r="M8" s="29"/>
    </row>
    <row r="9" spans="1:13" x14ac:dyDescent="0.25">
      <c r="A9" s="7">
        <v>1986</v>
      </c>
      <c r="B9" s="16">
        <v>1333</v>
      </c>
      <c r="C9" s="17">
        <v>90.1</v>
      </c>
      <c r="D9" s="17">
        <v>3.83</v>
      </c>
      <c r="E9" s="17">
        <v>0.15</v>
      </c>
      <c r="F9" s="18">
        <v>5.93</v>
      </c>
      <c r="G9" s="17">
        <v>529</v>
      </c>
      <c r="H9" s="17">
        <v>3.02</v>
      </c>
      <c r="I9" s="17">
        <v>82.23</v>
      </c>
      <c r="J9" s="17">
        <v>5.67</v>
      </c>
      <c r="K9" s="17">
        <v>9.07</v>
      </c>
      <c r="L9" s="31">
        <f t="shared" si="0"/>
        <v>29.994299999999999</v>
      </c>
      <c r="M9" s="29"/>
    </row>
    <row r="10" spans="1:13" x14ac:dyDescent="0.25">
      <c r="A10" s="3">
        <v>1987</v>
      </c>
      <c r="B10" s="12">
        <v>1335</v>
      </c>
      <c r="C10" s="13">
        <v>90.34</v>
      </c>
      <c r="D10" s="13">
        <v>3</v>
      </c>
      <c r="E10" s="13">
        <v>0</v>
      </c>
      <c r="F10" s="14">
        <v>6.67</v>
      </c>
      <c r="G10" s="15">
        <v>680</v>
      </c>
      <c r="H10" s="15">
        <v>3.53</v>
      </c>
      <c r="I10" s="15">
        <v>79.41</v>
      </c>
      <c r="J10" s="15">
        <v>2.79</v>
      </c>
      <c r="K10" s="15">
        <v>14.26</v>
      </c>
      <c r="L10" s="31">
        <f t="shared" si="0"/>
        <v>18.972000000000001</v>
      </c>
      <c r="M10" s="29"/>
    </row>
    <row r="11" spans="1:13" x14ac:dyDescent="0.25">
      <c r="A11" s="3">
        <v>1988</v>
      </c>
      <c r="B11" s="12">
        <v>1349</v>
      </c>
      <c r="C11" s="13">
        <v>91.85</v>
      </c>
      <c r="D11" s="13">
        <v>2.74</v>
      </c>
      <c r="E11" s="13">
        <v>0</v>
      </c>
      <c r="F11" s="14">
        <v>5.41</v>
      </c>
      <c r="G11" s="15">
        <v>754</v>
      </c>
      <c r="H11" s="15">
        <v>3.58</v>
      </c>
      <c r="I11" s="15">
        <v>79.44</v>
      </c>
      <c r="J11" s="15">
        <v>3.85</v>
      </c>
      <c r="K11" s="15">
        <v>13.13</v>
      </c>
      <c r="L11" s="31">
        <f t="shared" si="0"/>
        <v>29.029</v>
      </c>
      <c r="M11" s="29"/>
    </row>
    <row r="12" spans="1:13" x14ac:dyDescent="0.25">
      <c r="A12" s="3">
        <v>1989</v>
      </c>
      <c r="B12" s="12">
        <v>1392</v>
      </c>
      <c r="C12" s="13">
        <v>93.1</v>
      </c>
      <c r="D12" s="13">
        <v>2.66</v>
      </c>
      <c r="E12" s="13">
        <v>0.22</v>
      </c>
      <c r="F12" s="14">
        <v>4.0199999999999996</v>
      </c>
      <c r="G12" s="15">
        <v>749</v>
      </c>
      <c r="H12" s="15">
        <v>5.21</v>
      </c>
      <c r="I12" s="15">
        <v>74.77</v>
      </c>
      <c r="J12" s="15">
        <v>4.67</v>
      </c>
      <c r="K12" s="15">
        <v>15.35</v>
      </c>
      <c r="L12" s="31">
        <f t="shared" si="0"/>
        <v>34.978299999999997</v>
      </c>
      <c r="M12" s="29" t="s">
        <v>153</v>
      </c>
    </row>
    <row r="13" spans="1:13" x14ac:dyDescent="0.25">
      <c r="A13" s="3">
        <v>1990</v>
      </c>
      <c r="B13" s="12">
        <v>1435</v>
      </c>
      <c r="C13" s="13">
        <v>94.63</v>
      </c>
      <c r="D13" s="13">
        <v>2.09</v>
      </c>
      <c r="E13" s="13">
        <v>0.14000000000000001</v>
      </c>
      <c r="F13" s="14">
        <v>3.14</v>
      </c>
      <c r="G13" s="15">
        <v>690</v>
      </c>
      <c r="H13" s="15">
        <v>3.19</v>
      </c>
      <c r="I13" s="15">
        <v>75.069999999999993</v>
      </c>
      <c r="J13" s="15">
        <v>8.1199999999999992</v>
      </c>
      <c r="K13" s="15">
        <v>13.62</v>
      </c>
      <c r="L13" s="31">
        <f t="shared" si="0"/>
        <v>56.027999999999992</v>
      </c>
      <c r="M13" s="29" t="s">
        <v>153</v>
      </c>
    </row>
    <row r="14" spans="1:13" x14ac:dyDescent="0.25">
      <c r="A14" s="3">
        <v>1991</v>
      </c>
      <c r="B14" s="12">
        <v>1472</v>
      </c>
      <c r="C14" s="13">
        <v>96.26</v>
      </c>
      <c r="D14" s="13">
        <v>1.83</v>
      </c>
      <c r="E14" s="13">
        <v>0.14000000000000001</v>
      </c>
      <c r="F14" s="14">
        <v>1.77</v>
      </c>
      <c r="G14" s="15">
        <v>588</v>
      </c>
      <c r="H14" s="15">
        <v>2.89</v>
      </c>
      <c r="I14" s="15">
        <v>78.06</v>
      </c>
      <c r="J14" s="15">
        <v>11.05</v>
      </c>
      <c r="K14" s="15">
        <v>7.99</v>
      </c>
      <c r="L14" s="31">
        <f t="shared" si="0"/>
        <v>64.974000000000004</v>
      </c>
      <c r="M14" s="29"/>
    </row>
    <row r="15" spans="1:13" x14ac:dyDescent="0.25">
      <c r="A15" s="3">
        <v>1992</v>
      </c>
      <c r="B15" s="12">
        <v>1619</v>
      </c>
      <c r="C15" s="13">
        <v>96.42</v>
      </c>
      <c r="D15" s="13">
        <v>1.24</v>
      </c>
      <c r="E15" s="13">
        <v>0</v>
      </c>
      <c r="F15" s="14">
        <v>2.35</v>
      </c>
      <c r="G15" s="15">
        <v>525</v>
      </c>
      <c r="H15" s="15">
        <v>6.29</v>
      </c>
      <c r="I15" s="15">
        <v>78.67</v>
      </c>
      <c r="J15" s="15">
        <v>6.1</v>
      </c>
      <c r="K15" s="15">
        <v>8.9499999999999993</v>
      </c>
      <c r="L15" s="31">
        <f t="shared" si="0"/>
        <v>32.024999999999999</v>
      </c>
      <c r="M15" s="29"/>
    </row>
    <row r="16" spans="1:13" x14ac:dyDescent="0.25">
      <c r="A16" s="3">
        <v>1993</v>
      </c>
      <c r="B16" s="12">
        <v>1767</v>
      </c>
      <c r="C16" s="13">
        <v>92.59</v>
      </c>
      <c r="D16" s="13">
        <v>1.53</v>
      </c>
      <c r="E16" s="13">
        <v>0</v>
      </c>
      <c r="F16" s="14">
        <v>5.89</v>
      </c>
      <c r="G16" s="15">
        <v>560</v>
      </c>
      <c r="H16" s="15">
        <v>4.6399999999999997</v>
      </c>
      <c r="I16" s="15">
        <v>76.790000000000006</v>
      </c>
      <c r="J16" s="15">
        <v>2.5</v>
      </c>
      <c r="K16" s="15">
        <v>16.07</v>
      </c>
      <c r="L16" s="31">
        <f t="shared" si="0"/>
        <v>14</v>
      </c>
      <c r="M16" s="29"/>
    </row>
    <row r="17" spans="1:21" x14ac:dyDescent="0.25">
      <c r="A17" s="3">
        <v>1994</v>
      </c>
      <c r="B17" s="12">
        <v>1847</v>
      </c>
      <c r="C17" s="13">
        <v>95.83</v>
      </c>
      <c r="D17" s="13">
        <v>0.76</v>
      </c>
      <c r="E17" s="13">
        <v>0.05</v>
      </c>
      <c r="F17" s="14">
        <v>3.36</v>
      </c>
      <c r="G17" s="15">
        <v>711</v>
      </c>
      <c r="H17" s="15">
        <v>4.08</v>
      </c>
      <c r="I17" s="15">
        <v>85.94</v>
      </c>
      <c r="J17" s="15">
        <v>2.11</v>
      </c>
      <c r="K17" s="15">
        <v>7.88</v>
      </c>
      <c r="L17" s="31">
        <f t="shared" si="0"/>
        <v>15.002099999999999</v>
      </c>
      <c r="M17" s="29"/>
    </row>
    <row r="18" spans="1:21" x14ac:dyDescent="0.25">
      <c r="A18" s="3">
        <v>1995</v>
      </c>
      <c r="B18" s="12">
        <v>2046</v>
      </c>
      <c r="C18" s="13">
        <v>95.5</v>
      </c>
      <c r="D18" s="13">
        <v>1.1200000000000001</v>
      </c>
      <c r="E18" s="13">
        <v>0.05</v>
      </c>
      <c r="F18" s="14">
        <v>3.32</v>
      </c>
      <c r="G18" s="15">
        <v>822</v>
      </c>
      <c r="H18" s="15">
        <v>3.77</v>
      </c>
      <c r="I18" s="15">
        <v>84.91</v>
      </c>
      <c r="J18" s="15">
        <v>3.53</v>
      </c>
      <c r="K18" s="15">
        <v>7.79</v>
      </c>
      <c r="L18" s="31">
        <f t="shared" si="0"/>
        <v>29.016599999999997</v>
      </c>
      <c r="M18" s="29"/>
    </row>
    <row r="19" spans="1:21" x14ac:dyDescent="0.25">
      <c r="A19" s="3">
        <v>1996</v>
      </c>
      <c r="B19" s="12">
        <v>2243</v>
      </c>
      <c r="C19" s="13">
        <v>94.47</v>
      </c>
      <c r="D19" s="13">
        <v>0.62</v>
      </c>
      <c r="E19" s="13">
        <v>0</v>
      </c>
      <c r="F19" s="14">
        <v>4.9000000000000004</v>
      </c>
      <c r="G19" s="15">
        <v>885</v>
      </c>
      <c r="H19" s="15">
        <v>4.75</v>
      </c>
      <c r="I19" s="15">
        <v>81.02</v>
      </c>
      <c r="J19" s="15">
        <v>1.81</v>
      </c>
      <c r="K19" s="15">
        <v>12.43</v>
      </c>
      <c r="L19" s="31">
        <f t="shared" si="0"/>
        <v>16.018500000000003</v>
      </c>
      <c r="M19" s="29"/>
    </row>
    <row r="20" spans="1:21" x14ac:dyDescent="0.25">
      <c r="A20" s="3">
        <v>1997</v>
      </c>
      <c r="B20" s="12">
        <v>2491</v>
      </c>
      <c r="C20" s="13">
        <v>93.26</v>
      </c>
      <c r="D20" s="13">
        <v>1.1599999999999999</v>
      </c>
      <c r="E20" s="13">
        <v>0.08</v>
      </c>
      <c r="F20" s="14">
        <v>5.5</v>
      </c>
      <c r="G20" s="15">
        <v>997</v>
      </c>
      <c r="H20" s="15">
        <v>4.3099999999999996</v>
      </c>
      <c r="I20" s="15">
        <v>80.94</v>
      </c>
      <c r="J20" s="15">
        <v>2.0099999999999998</v>
      </c>
      <c r="K20" s="15">
        <v>12.74</v>
      </c>
      <c r="L20" s="31">
        <f t="shared" si="0"/>
        <v>20.039699999999996</v>
      </c>
      <c r="M20" s="29"/>
    </row>
    <row r="21" spans="1:21" x14ac:dyDescent="0.25">
      <c r="A21" s="3">
        <v>1998</v>
      </c>
      <c r="B21" s="12">
        <v>2766</v>
      </c>
      <c r="C21" s="13">
        <v>90.42</v>
      </c>
      <c r="D21" s="13">
        <v>2.17</v>
      </c>
      <c r="E21" s="13">
        <v>0.14000000000000001</v>
      </c>
      <c r="F21" s="14">
        <v>7.27</v>
      </c>
      <c r="G21" s="19">
        <v>1310</v>
      </c>
      <c r="H21" s="15">
        <v>2.98</v>
      </c>
      <c r="I21" s="15">
        <v>83.89</v>
      </c>
      <c r="J21" s="15">
        <v>3.66</v>
      </c>
      <c r="K21" s="15">
        <v>9.4700000000000006</v>
      </c>
      <c r="L21" s="31">
        <f t="shared" si="0"/>
        <v>47.946000000000005</v>
      </c>
      <c r="M21" s="29"/>
    </row>
    <row r="22" spans="1:21" x14ac:dyDescent="0.25">
      <c r="A22" s="3">
        <v>1999</v>
      </c>
      <c r="B22" s="12">
        <v>2873</v>
      </c>
      <c r="C22" s="13">
        <v>90.57</v>
      </c>
      <c r="D22" s="13">
        <v>1.64</v>
      </c>
      <c r="E22" s="13">
        <v>0.17</v>
      </c>
      <c r="F22" s="14">
        <v>7.62</v>
      </c>
      <c r="G22" s="19">
        <v>1654</v>
      </c>
      <c r="H22" s="15">
        <v>1.63</v>
      </c>
      <c r="I22" s="15">
        <v>81.260000000000005</v>
      </c>
      <c r="J22" s="15">
        <v>5.56</v>
      </c>
      <c r="K22" s="15">
        <v>11.55</v>
      </c>
      <c r="L22" s="31">
        <f t="shared" si="0"/>
        <v>91.962400000000002</v>
      </c>
      <c r="M22" s="29"/>
    </row>
    <row r="23" spans="1:21" x14ac:dyDescent="0.25">
      <c r="A23" s="3">
        <v>2000</v>
      </c>
      <c r="B23" s="12">
        <v>2929</v>
      </c>
      <c r="C23" s="13">
        <v>91.57</v>
      </c>
      <c r="D23" s="13">
        <v>1.78</v>
      </c>
      <c r="E23" s="13">
        <v>0.24</v>
      </c>
      <c r="F23" s="14">
        <v>6.42</v>
      </c>
      <c r="G23" s="19">
        <v>1751</v>
      </c>
      <c r="H23" s="15">
        <v>2.17</v>
      </c>
      <c r="I23" s="15">
        <v>83.32</v>
      </c>
      <c r="J23" s="15">
        <v>6.23</v>
      </c>
      <c r="K23" s="15">
        <v>8.2799999999999994</v>
      </c>
      <c r="L23" s="31">
        <f t="shared" si="0"/>
        <v>109.08730000000001</v>
      </c>
      <c r="M23" s="29"/>
    </row>
    <row r="24" spans="1:21" x14ac:dyDescent="0.25">
      <c r="A24" s="3">
        <v>2001</v>
      </c>
      <c r="B24" s="12">
        <v>3003</v>
      </c>
      <c r="C24" s="13">
        <v>90.64</v>
      </c>
      <c r="D24" s="13">
        <v>2.66</v>
      </c>
      <c r="E24" s="13">
        <v>0.23</v>
      </c>
      <c r="F24" s="14">
        <v>6.46</v>
      </c>
      <c r="G24" s="19">
        <v>1753</v>
      </c>
      <c r="H24" s="15">
        <v>1.54</v>
      </c>
      <c r="I24" s="15">
        <v>79.239999999999995</v>
      </c>
      <c r="J24" s="15">
        <v>9.8699999999999992</v>
      </c>
      <c r="K24" s="15">
        <v>9.36</v>
      </c>
      <c r="L24" s="31">
        <f t="shared" si="0"/>
        <v>173.02109999999996</v>
      </c>
      <c r="M24" s="29" t="s">
        <v>153</v>
      </c>
    </row>
    <row r="25" spans="1:21" x14ac:dyDescent="0.25">
      <c r="A25" s="3">
        <v>2002</v>
      </c>
      <c r="B25" s="12">
        <v>3111</v>
      </c>
      <c r="C25" s="13">
        <v>89.39</v>
      </c>
      <c r="D25" s="13">
        <v>3.99</v>
      </c>
      <c r="E25" s="13">
        <v>0.42</v>
      </c>
      <c r="F25" s="14">
        <v>6.2</v>
      </c>
      <c r="G25" s="19">
        <v>1675</v>
      </c>
      <c r="H25" s="15">
        <v>1.79</v>
      </c>
      <c r="I25" s="15">
        <v>79.58</v>
      </c>
      <c r="J25" s="15">
        <v>9.49</v>
      </c>
      <c r="K25" s="15">
        <v>9.1300000000000008</v>
      </c>
      <c r="L25" s="31">
        <f t="shared" si="0"/>
        <v>158.95750000000001</v>
      </c>
      <c r="M25" s="29" t="s">
        <v>153</v>
      </c>
      <c r="N25" s="94"/>
      <c r="O25" s="94"/>
      <c r="P25" s="94"/>
      <c r="Q25" s="94"/>
      <c r="R25" s="94"/>
      <c r="S25" s="94"/>
      <c r="T25" s="94"/>
      <c r="U25" s="94"/>
    </row>
    <row r="26" spans="1:21" x14ac:dyDescent="0.25">
      <c r="A26" s="3">
        <v>2003</v>
      </c>
      <c r="B26" s="12">
        <v>3025</v>
      </c>
      <c r="C26" s="13">
        <v>92.43</v>
      </c>
      <c r="D26" s="13">
        <v>2.5099999999999998</v>
      </c>
      <c r="E26" s="13">
        <v>0.1</v>
      </c>
      <c r="F26" s="14">
        <v>4.96</v>
      </c>
      <c r="G26" s="19">
        <v>1759</v>
      </c>
      <c r="H26" s="15">
        <v>1.53</v>
      </c>
      <c r="I26" s="15">
        <v>81.98</v>
      </c>
      <c r="J26" s="15">
        <v>5.0599999999999996</v>
      </c>
      <c r="K26" s="15">
        <v>11.43</v>
      </c>
      <c r="L26" s="31">
        <f t="shared" si="0"/>
        <v>89.005399999999995</v>
      </c>
      <c r="M26" s="29"/>
      <c r="N26" s="94"/>
      <c r="O26" s="94" t="s">
        <v>156</v>
      </c>
      <c r="P26" s="94"/>
      <c r="Q26" s="94"/>
      <c r="R26" s="94"/>
      <c r="S26" s="94"/>
      <c r="T26" s="94"/>
      <c r="U26" s="94"/>
    </row>
    <row r="27" spans="1:21" x14ac:dyDescent="0.25">
      <c r="A27" s="3">
        <v>2004</v>
      </c>
      <c r="B27" s="12">
        <v>3140</v>
      </c>
      <c r="C27" s="13">
        <v>94.08</v>
      </c>
      <c r="D27" s="13">
        <v>1.02</v>
      </c>
      <c r="E27" s="13">
        <v>0.03</v>
      </c>
      <c r="F27" s="14">
        <v>4.87</v>
      </c>
      <c r="G27" s="19">
        <v>1879</v>
      </c>
      <c r="H27" s="15">
        <v>2.1800000000000002</v>
      </c>
      <c r="I27" s="15">
        <v>84.57</v>
      </c>
      <c r="J27" s="15">
        <v>2.02</v>
      </c>
      <c r="K27" s="15">
        <v>11.23</v>
      </c>
      <c r="L27" s="31">
        <f t="shared" si="0"/>
        <v>37.955799999999996</v>
      </c>
      <c r="M27" s="29"/>
      <c r="N27" s="94"/>
      <c r="O27" s="94" t="s">
        <v>151</v>
      </c>
      <c r="P27" s="94"/>
      <c r="Q27" s="95"/>
      <c r="R27" s="94"/>
      <c r="S27" s="94"/>
      <c r="T27" s="94"/>
      <c r="U27" s="94"/>
    </row>
    <row r="28" spans="1:21" x14ac:dyDescent="0.25">
      <c r="A28" s="3">
        <v>2005</v>
      </c>
      <c r="B28" s="12">
        <v>3248</v>
      </c>
      <c r="C28" s="13">
        <v>92.83</v>
      </c>
      <c r="D28" s="13">
        <v>1.6</v>
      </c>
      <c r="E28" s="13">
        <v>0.03</v>
      </c>
      <c r="F28" s="14">
        <v>5.54</v>
      </c>
      <c r="G28" s="19">
        <v>2061</v>
      </c>
      <c r="H28" s="15">
        <v>3.06</v>
      </c>
      <c r="I28" s="15">
        <v>82.34</v>
      </c>
      <c r="J28" s="15">
        <v>1.5</v>
      </c>
      <c r="K28" s="15">
        <v>13.1</v>
      </c>
      <c r="L28" s="31">
        <f t="shared" si="0"/>
        <v>30.914999999999999</v>
      </c>
      <c r="M28" s="29"/>
      <c r="N28" s="94"/>
      <c r="O28" s="94" t="s">
        <v>152</v>
      </c>
      <c r="P28" s="94"/>
      <c r="Q28" s="94"/>
      <c r="R28" s="94"/>
      <c r="S28" s="94"/>
      <c r="T28" s="94"/>
      <c r="U28" s="94"/>
    </row>
    <row r="29" spans="1:21" x14ac:dyDescent="0.25">
      <c r="A29" s="3">
        <v>2006</v>
      </c>
      <c r="B29" s="12">
        <v>3270</v>
      </c>
      <c r="C29" s="13">
        <v>93.76</v>
      </c>
      <c r="D29" s="13">
        <v>1.47</v>
      </c>
      <c r="E29" s="13">
        <v>0</v>
      </c>
      <c r="F29" s="14">
        <v>4.7699999999999996</v>
      </c>
      <c r="G29" s="19">
        <v>2195</v>
      </c>
      <c r="H29" s="15">
        <v>2.19</v>
      </c>
      <c r="I29" s="15">
        <v>81.96</v>
      </c>
      <c r="J29" s="15">
        <v>1.18</v>
      </c>
      <c r="K29" s="15">
        <v>14.67</v>
      </c>
      <c r="L29" s="31">
        <f t="shared" si="0"/>
        <v>25.901</v>
      </c>
      <c r="M29" s="29"/>
      <c r="N29" s="94"/>
      <c r="O29" s="94">
        <v>2009</v>
      </c>
      <c r="P29" s="94"/>
      <c r="Q29" s="94"/>
      <c r="R29" s="94"/>
      <c r="S29" s="94"/>
      <c r="T29" s="94"/>
      <c r="U29" s="94"/>
    </row>
    <row r="30" spans="1:21" x14ac:dyDescent="0.25">
      <c r="A30" s="3">
        <v>2007</v>
      </c>
      <c r="B30" s="12">
        <v>3344</v>
      </c>
      <c r="C30" s="13">
        <v>90.13</v>
      </c>
      <c r="D30" s="13">
        <v>1.73</v>
      </c>
      <c r="E30" s="13">
        <v>0</v>
      </c>
      <c r="F30" s="14">
        <v>8.1300000000000008</v>
      </c>
      <c r="G30" s="19">
        <v>2307</v>
      </c>
      <c r="H30" s="15">
        <v>3.03</v>
      </c>
      <c r="I30" s="15">
        <v>81.84</v>
      </c>
      <c r="J30" s="15">
        <v>0.91</v>
      </c>
      <c r="K30" s="15">
        <v>14.22</v>
      </c>
      <c r="L30" s="31">
        <f t="shared" si="0"/>
        <v>20.9937</v>
      </c>
      <c r="M30" s="29"/>
      <c r="N30" s="94"/>
      <c r="O30" s="94"/>
      <c r="P30" s="94"/>
      <c r="Q30" s="94"/>
      <c r="R30" s="94"/>
      <c r="S30" s="94"/>
      <c r="T30" s="94"/>
      <c r="U30" s="94"/>
    </row>
    <row r="31" spans="1:21" x14ac:dyDescent="0.25">
      <c r="A31" s="3">
        <v>2008</v>
      </c>
      <c r="B31" s="12">
        <v>3321</v>
      </c>
      <c r="C31" s="13">
        <v>92.2</v>
      </c>
      <c r="D31" s="13">
        <v>1.93</v>
      </c>
      <c r="E31" s="13">
        <v>0.42</v>
      </c>
      <c r="F31" s="14">
        <v>5.45</v>
      </c>
      <c r="G31" s="19">
        <v>2412</v>
      </c>
      <c r="H31" s="15">
        <v>2.2000000000000002</v>
      </c>
      <c r="I31" s="15">
        <v>83.29</v>
      </c>
      <c r="J31" s="15">
        <v>3.69</v>
      </c>
      <c r="K31" s="15">
        <v>10.82</v>
      </c>
      <c r="L31" s="31">
        <f t="shared" si="0"/>
        <v>89.002800000000008</v>
      </c>
      <c r="M31" s="29"/>
      <c r="N31" s="94"/>
      <c r="O31" s="94"/>
      <c r="P31" s="94"/>
      <c r="Q31" s="94"/>
      <c r="R31" s="96" t="s">
        <v>192</v>
      </c>
      <c r="S31" s="94"/>
      <c r="T31" s="94"/>
      <c r="U31" s="94"/>
    </row>
    <row r="32" spans="1:21" x14ac:dyDescent="0.25">
      <c r="A32" s="3">
        <v>2009</v>
      </c>
      <c r="B32" s="12">
        <v>3355</v>
      </c>
      <c r="C32" s="13">
        <v>89.33</v>
      </c>
      <c r="D32" s="13">
        <v>3.4</v>
      </c>
      <c r="E32" s="13">
        <v>0.33</v>
      </c>
      <c r="F32" s="14">
        <v>6.94</v>
      </c>
      <c r="G32" s="19">
        <v>2265</v>
      </c>
      <c r="H32" s="15">
        <v>1.28</v>
      </c>
      <c r="I32" s="15">
        <v>77.09</v>
      </c>
      <c r="J32" s="15">
        <v>9.89</v>
      </c>
      <c r="K32" s="15">
        <v>11.74</v>
      </c>
      <c r="L32" s="31">
        <f t="shared" si="0"/>
        <v>224.00850000000003</v>
      </c>
      <c r="M32" s="29" t="s">
        <v>153</v>
      </c>
      <c r="N32" s="96" t="s">
        <v>154</v>
      </c>
      <c r="O32" s="94"/>
      <c r="P32" s="94"/>
      <c r="Q32" s="100">
        <f>SUMIF($M$4:$M$39,"x",$L$4:$L$39)/SUMIF($M$4:$M$39,"x",$G$4:$G$39)</f>
        <v>9.0716965787997747E-2</v>
      </c>
      <c r="R32" s="99">
        <f>Q32/Q33</f>
        <v>3.0070793144718708</v>
      </c>
      <c r="S32" s="94"/>
      <c r="T32" s="94"/>
      <c r="U32" s="94"/>
    </row>
    <row r="33" spans="1:21" x14ac:dyDescent="0.25">
      <c r="A33" s="3">
        <v>2010</v>
      </c>
      <c r="B33" s="12">
        <v>3181</v>
      </c>
      <c r="C33" s="13">
        <v>94.72</v>
      </c>
      <c r="D33" s="13">
        <v>0.94</v>
      </c>
      <c r="E33" s="13">
        <v>0</v>
      </c>
      <c r="F33" s="14">
        <v>4.34</v>
      </c>
      <c r="G33" s="19">
        <v>2131</v>
      </c>
      <c r="H33" s="15">
        <v>2.35</v>
      </c>
      <c r="I33" s="15">
        <v>84.89</v>
      </c>
      <c r="J33" s="15">
        <v>3</v>
      </c>
      <c r="K33" s="15">
        <v>9.76</v>
      </c>
      <c r="L33" s="31">
        <f t="shared" si="0"/>
        <v>63.93</v>
      </c>
      <c r="M33" s="29"/>
      <c r="N33" s="96" t="s">
        <v>155</v>
      </c>
      <c r="O33" s="94"/>
      <c r="P33" s="94"/>
      <c r="Q33" s="100">
        <f>SUMIF($M$4:$M$39,"",$L$4:$L$39)/SUMIF($M$4:$M$39,"",$G$4:$G$39)</f>
        <v>3.016779948284478E-2</v>
      </c>
      <c r="R33" s="94"/>
      <c r="S33" s="94"/>
      <c r="T33" s="94"/>
      <c r="U33" s="94"/>
    </row>
    <row r="34" spans="1:21" x14ac:dyDescent="0.2">
      <c r="A34" s="3">
        <v>2011</v>
      </c>
      <c r="B34" s="12">
        <v>3233</v>
      </c>
      <c r="C34" s="13">
        <v>93.29</v>
      </c>
      <c r="D34" s="13">
        <v>1.76</v>
      </c>
      <c r="E34" s="13">
        <v>0.03</v>
      </c>
      <c r="F34" s="14">
        <v>4.92</v>
      </c>
      <c r="G34" s="19">
        <v>2400</v>
      </c>
      <c r="H34" s="15">
        <v>2.38</v>
      </c>
      <c r="I34" s="15">
        <v>84</v>
      </c>
      <c r="J34" s="15">
        <v>1.83</v>
      </c>
      <c r="K34" s="15">
        <v>11.79</v>
      </c>
      <c r="L34" s="31">
        <f t="shared" si="0"/>
        <v>43.92</v>
      </c>
      <c r="M34" s="29"/>
      <c r="N34" s="96" t="s">
        <v>157</v>
      </c>
      <c r="O34" s="94"/>
      <c r="P34" s="94"/>
      <c r="Q34" s="101">
        <f>11/471</f>
        <v>2.3354564755838639E-2</v>
      </c>
      <c r="R34" s="94"/>
      <c r="S34" s="94"/>
      <c r="T34" s="94"/>
      <c r="U34" s="94"/>
    </row>
    <row r="35" spans="1:21" x14ac:dyDescent="0.25">
      <c r="A35" s="3">
        <v>2012</v>
      </c>
      <c r="B35" s="12">
        <v>3243</v>
      </c>
      <c r="C35" s="13">
        <v>93.71</v>
      </c>
      <c r="D35" s="13">
        <v>1.76</v>
      </c>
      <c r="E35" s="13">
        <v>0</v>
      </c>
      <c r="F35" s="14">
        <v>4.53</v>
      </c>
      <c r="G35" s="19">
        <v>2564</v>
      </c>
      <c r="H35" s="15">
        <v>1.91</v>
      </c>
      <c r="I35" s="15">
        <v>85.61</v>
      </c>
      <c r="J35" s="15">
        <v>2.57</v>
      </c>
      <c r="K35" s="15">
        <v>9.91</v>
      </c>
      <c r="L35" s="31">
        <f t="shared" si="0"/>
        <v>65.894799999999989</v>
      </c>
      <c r="M35" s="29"/>
      <c r="N35" s="96" t="s">
        <v>187</v>
      </c>
      <c r="O35" s="94"/>
      <c r="P35" s="94"/>
      <c r="Q35" s="102">
        <f>Q32/Q33</f>
        <v>3.0070793144718708</v>
      </c>
      <c r="R35" s="94"/>
      <c r="S35" s="94"/>
      <c r="T35" s="94"/>
      <c r="U35" s="94"/>
    </row>
    <row r="36" spans="1:21" x14ac:dyDescent="0.25">
      <c r="A36" s="3">
        <v>2013</v>
      </c>
      <c r="B36" s="12">
        <v>3252</v>
      </c>
      <c r="C36" s="13">
        <v>94.96</v>
      </c>
      <c r="D36" s="13">
        <v>1.35</v>
      </c>
      <c r="E36" s="13">
        <v>0</v>
      </c>
      <c r="F36" s="14">
        <v>3.69</v>
      </c>
      <c r="G36" s="19">
        <v>2792</v>
      </c>
      <c r="H36" s="15">
        <v>2.11</v>
      </c>
      <c r="I36" s="15">
        <v>85.35</v>
      </c>
      <c r="J36" s="15">
        <v>2.29</v>
      </c>
      <c r="K36" s="15">
        <v>10.24</v>
      </c>
      <c r="L36" s="31">
        <f t="shared" si="0"/>
        <v>63.936800000000005</v>
      </c>
      <c r="M36" s="29"/>
      <c r="N36" s="96" t="s">
        <v>189</v>
      </c>
      <c r="O36" s="94"/>
      <c r="P36" s="94"/>
      <c r="Q36" s="103">
        <v>0.1</v>
      </c>
      <c r="R36" s="94"/>
      <c r="S36" s="94"/>
      <c r="T36" s="94"/>
      <c r="U36" s="94"/>
    </row>
    <row r="37" spans="1:21" x14ac:dyDescent="0.25">
      <c r="A37" s="3">
        <v>2014</v>
      </c>
      <c r="B37" s="12">
        <v>3346</v>
      </c>
      <c r="C37" s="13">
        <v>95.7</v>
      </c>
      <c r="D37" s="13">
        <v>1.23</v>
      </c>
      <c r="E37" s="13">
        <v>0</v>
      </c>
      <c r="F37" s="14">
        <v>3.08</v>
      </c>
      <c r="G37" s="19">
        <v>3143</v>
      </c>
      <c r="H37" s="15">
        <v>1.4</v>
      </c>
      <c r="I37" s="15">
        <v>85.68</v>
      </c>
      <c r="J37" s="15">
        <v>1.43</v>
      </c>
      <c r="K37" s="15">
        <v>11.49</v>
      </c>
      <c r="L37" s="31">
        <f t="shared" si="0"/>
        <v>44.944899999999997</v>
      </c>
      <c r="M37" s="29"/>
      <c r="N37" s="94"/>
      <c r="O37" s="94"/>
      <c r="P37" s="94"/>
      <c r="Q37" s="96"/>
      <c r="R37" s="94"/>
      <c r="S37" s="94"/>
      <c r="T37" s="94"/>
      <c r="U37" s="94"/>
    </row>
    <row r="38" spans="1:21" x14ac:dyDescent="0.25">
      <c r="A38" s="3">
        <v>2015</v>
      </c>
      <c r="B38" s="12">
        <v>3498</v>
      </c>
      <c r="C38" s="13">
        <v>92.77</v>
      </c>
      <c r="D38" s="13">
        <v>2.54</v>
      </c>
      <c r="E38" s="13">
        <v>0</v>
      </c>
      <c r="F38" s="14">
        <v>4.6900000000000004</v>
      </c>
      <c r="G38" s="19">
        <v>3414</v>
      </c>
      <c r="H38" s="15">
        <v>1.38</v>
      </c>
      <c r="I38" s="15">
        <v>83.8</v>
      </c>
      <c r="J38" s="15">
        <v>2.75</v>
      </c>
      <c r="K38" s="15">
        <v>12.07</v>
      </c>
      <c r="L38" s="31">
        <f t="shared" si="0"/>
        <v>93.885000000000005</v>
      </c>
      <c r="M38" s="29"/>
      <c r="N38" s="97" t="s">
        <v>158</v>
      </c>
      <c r="O38" s="98"/>
      <c r="P38" s="98"/>
      <c r="Q38" s="104">
        <f>(1-Q36)*Q34+Q36*R32*Q34</f>
        <v>2.8042011137832393E-2</v>
      </c>
      <c r="R38" s="94"/>
      <c r="S38" s="94"/>
      <c r="T38" s="94"/>
      <c r="U38" s="94"/>
    </row>
    <row r="39" spans="1:21" ht="10.5" customHeight="1" x14ac:dyDescent="0.25">
      <c r="A39" s="3">
        <v>2016</v>
      </c>
      <c r="B39" s="12">
        <v>3515</v>
      </c>
      <c r="C39" s="13">
        <v>93.09</v>
      </c>
      <c r="D39" s="13">
        <v>1.76</v>
      </c>
      <c r="E39" s="13">
        <v>0</v>
      </c>
      <c r="F39" s="14">
        <v>5.15</v>
      </c>
      <c r="G39" s="19">
        <v>3413</v>
      </c>
      <c r="H39" s="15">
        <v>1.17</v>
      </c>
      <c r="I39" s="15">
        <v>83.01</v>
      </c>
      <c r="J39" s="15">
        <v>4.1900000000000004</v>
      </c>
      <c r="K39" s="15">
        <v>11.63</v>
      </c>
      <c r="L39" s="31">
        <f t="shared" si="0"/>
        <v>143.00470000000001</v>
      </c>
      <c r="M39" s="29"/>
      <c r="N39" s="94"/>
      <c r="O39" s="94"/>
      <c r="P39" s="94"/>
      <c r="Q39" s="94"/>
      <c r="R39" s="94"/>
      <c r="S39" s="94"/>
      <c r="T39" s="94"/>
      <c r="U39" s="94"/>
    </row>
    <row r="40" spans="1:21" x14ac:dyDescent="0.25">
      <c r="A40" s="3" t="s">
        <v>8</v>
      </c>
      <c r="B40" s="13"/>
      <c r="C40" s="13">
        <v>92.92</v>
      </c>
      <c r="D40" s="13">
        <v>1.94</v>
      </c>
      <c r="E40" s="13">
        <v>0.1</v>
      </c>
      <c r="F40" s="14">
        <v>5.05</v>
      </c>
      <c r="G40" s="15"/>
      <c r="H40" s="15">
        <v>2.36</v>
      </c>
      <c r="I40" s="15">
        <v>82.58</v>
      </c>
      <c r="J40" s="15">
        <v>3.83</v>
      </c>
      <c r="K40" s="15">
        <v>11.22</v>
      </c>
      <c r="L40" s="32"/>
      <c r="M40" s="29"/>
    </row>
    <row r="41" spans="1:21" x14ac:dyDescent="0.25">
      <c r="A41" s="3" t="s">
        <v>9</v>
      </c>
      <c r="B41" s="13"/>
      <c r="C41" s="13">
        <v>93.18</v>
      </c>
      <c r="D41" s="13">
        <v>1.77</v>
      </c>
      <c r="E41" s="13">
        <v>0.04</v>
      </c>
      <c r="F41" s="14">
        <v>4.8899999999999997</v>
      </c>
      <c r="G41" s="15"/>
      <c r="H41" s="15">
        <v>1.28</v>
      </c>
      <c r="I41" s="15">
        <v>3.41</v>
      </c>
      <c r="J41" s="15">
        <v>2.72</v>
      </c>
      <c r="K41" s="15">
        <v>2.74</v>
      </c>
      <c r="L41" s="32"/>
      <c r="M41" s="29"/>
    </row>
    <row r="42" spans="1:21" x14ac:dyDescent="0.25">
      <c r="A42" s="3" t="s">
        <v>10</v>
      </c>
      <c r="B42" s="13"/>
      <c r="C42" s="13">
        <v>2.11</v>
      </c>
      <c r="D42" s="13">
        <v>0.86</v>
      </c>
      <c r="E42" s="13">
        <v>0.12</v>
      </c>
      <c r="F42" s="14">
        <v>1.67</v>
      </c>
      <c r="G42" s="15"/>
      <c r="H42" s="15">
        <v>1.28</v>
      </c>
      <c r="I42" s="15">
        <v>3.41</v>
      </c>
      <c r="J42" s="15">
        <v>2.72</v>
      </c>
      <c r="K42" s="15">
        <v>2.74</v>
      </c>
      <c r="L42" s="32"/>
      <c r="M42" s="29"/>
    </row>
    <row r="43" spans="1:21" x14ac:dyDescent="0.25">
      <c r="A43" s="3" t="s">
        <v>11</v>
      </c>
      <c r="B43" s="13"/>
      <c r="C43" s="13">
        <v>89.33</v>
      </c>
      <c r="D43" s="13">
        <v>0.62</v>
      </c>
      <c r="E43" s="13">
        <v>0</v>
      </c>
      <c r="F43" s="14">
        <v>1.22</v>
      </c>
      <c r="G43" s="15"/>
      <c r="H43" s="15">
        <v>1.17</v>
      </c>
      <c r="I43" s="15">
        <v>74.77</v>
      </c>
      <c r="J43" s="15">
        <v>0.62</v>
      </c>
      <c r="K43" s="15">
        <v>4.67</v>
      </c>
      <c r="L43" s="32"/>
      <c r="M43" s="29"/>
    </row>
    <row r="44" spans="1:21" x14ac:dyDescent="0.25">
      <c r="A44" s="3" t="s">
        <v>12</v>
      </c>
      <c r="B44" s="13"/>
      <c r="C44" s="13">
        <v>97.36</v>
      </c>
      <c r="D44" s="13">
        <v>3.99</v>
      </c>
      <c r="E44" s="13">
        <v>0.42</v>
      </c>
      <c r="F44" s="14">
        <v>8.1300000000000008</v>
      </c>
      <c r="G44" s="15"/>
      <c r="H44" s="15">
        <v>6.29</v>
      </c>
      <c r="I44" s="15">
        <v>90.03</v>
      </c>
      <c r="J44" s="15">
        <v>11.05</v>
      </c>
      <c r="K44" s="15">
        <v>16.07</v>
      </c>
      <c r="L44" s="32"/>
      <c r="M44" s="29"/>
    </row>
    <row r="45" spans="1:21" x14ac:dyDescent="0.25">
      <c r="C45" s="6">
        <f>SUMPRODUCT($B$4:$B$39,C4:C39)/SUM($B$4:$B$39)</f>
        <v>92.916405319296317</v>
      </c>
      <c r="D45" s="6">
        <f t="shared" ref="D45:F45" si="1">SUMPRODUCT($B$4:$B$39,D4:D39)/SUM($B$4:$B$39)</f>
        <v>1.9355965738560283</v>
      </c>
      <c r="E45" s="6">
        <f t="shared" si="1"/>
        <v>9.7795401025072698E-2</v>
      </c>
      <c r="F45" s="6">
        <f t="shared" si="1"/>
        <v>5.0501496052084782</v>
      </c>
      <c r="G45" s="6"/>
      <c r="H45" s="6"/>
      <c r="I45" s="6"/>
      <c r="J45" s="6"/>
      <c r="K45" s="6"/>
    </row>
  </sheetData>
  <mergeCells count="3">
    <mergeCell ref="B2:F2"/>
    <mergeCell ref="G2:K2"/>
    <mergeCell ref="B1:K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9"/>
  <sheetViews>
    <sheetView workbookViewId="0">
      <selection activeCell="D14" sqref="D14"/>
    </sheetView>
  </sheetViews>
  <sheetFormatPr defaultRowHeight="15" x14ac:dyDescent="0.25"/>
  <cols>
    <col min="1" max="1" width="12" style="5" bestFit="1" customWidth="1"/>
    <col min="2" max="9" width="12.28515625" style="5" customWidth="1"/>
    <col min="10" max="10" width="8.85546875" style="5" customWidth="1"/>
    <col min="11" max="11" width="43.140625" style="5" customWidth="1"/>
    <col min="12" max="16384" width="9.140625" style="5"/>
  </cols>
  <sheetData>
    <row r="1" spans="1:11" x14ac:dyDescent="0.25">
      <c r="A1" s="4" t="s">
        <v>96</v>
      </c>
      <c r="B1" s="4" t="s">
        <v>75</v>
      </c>
      <c r="C1" s="4" t="s">
        <v>76</v>
      </c>
      <c r="D1" s="4" t="s">
        <v>77</v>
      </c>
      <c r="E1" s="4" t="s">
        <v>75</v>
      </c>
      <c r="F1" s="4" t="s">
        <v>76</v>
      </c>
      <c r="G1" s="4" t="s">
        <v>77</v>
      </c>
      <c r="H1" s="4" t="s">
        <v>75</v>
      </c>
      <c r="I1" s="4" t="s">
        <v>76</v>
      </c>
      <c r="J1" s="4" t="s">
        <v>77</v>
      </c>
      <c r="K1" s="4"/>
    </row>
    <row r="2" spans="1:11" x14ac:dyDescent="0.25">
      <c r="A2" s="4" t="s">
        <v>78</v>
      </c>
      <c r="B2" s="4">
        <v>81</v>
      </c>
      <c r="C2" s="4">
        <v>0</v>
      </c>
      <c r="D2" s="4">
        <v>0</v>
      </c>
      <c r="E2" s="4">
        <v>72</v>
      </c>
      <c r="F2" s="4">
        <v>0</v>
      </c>
      <c r="G2" s="4">
        <v>0</v>
      </c>
      <c r="H2" s="4">
        <v>51</v>
      </c>
      <c r="I2" s="4">
        <v>0</v>
      </c>
      <c r="J2" s="4">
        <v>0</v>
      </c>
      <c r="K2" s="4" t="str">
        <f>"Xác suất vỡ nợ của nhóm được rate "&amp;A2</f>
        <v>Xác suất vỡ nợ của nhóm được rate AAA</v>
      </c>
    </row>
    <row r="3" spans="1:11" x14ac:dyDescent="0.25">
      <c r="A3" s="4" t="s">
        <v>79</v>
      </c>
      <c r="B3" s="4">
        <v>37</v>
      </c>
      <c r="C3" s="4">
        <v>0</v>
      </c>
      <c r="D3" s="4">
        <v>0</v>
      </c>
      <c r="E3" s="4">
        <v>25</v>
      </c>
      <c r="F3" s="4">
        <v>0</v>
      </c>
      <c r="G3" s="4">
        <v>0</v>
      </c>
      <c r="H3" s="4">
        <v>36</v>
      </c>
      <c r="I3" s="4">
        <v>0</v>
      </c>
      <c r="J3" s="4">
        <v>0</v>
      </c>
      <c r="K3" s="4" t="str">
        <f t="shared" ref="K3:K19" si="0">"Xác suất vỡ nợ của nhóm được rate "&amp;A3</f>
        <v>Xác suất vỡ nợ của nhóm được rate AA+</v>
      </c>
    </row>
    <row r="4" spans="1:11" x14ac:dyDescent="0.25">
      <c r="A4" s="4" t="s">
        <v>80</v>
      </c>
      <c r="B4" s="4">
        <v>188</v>
      </c>
      <c r="C4" s="4">
        <v>0</v>
      </c>
      <c r="D4" s="4">
        <v>0</v>
      </c>
      <c r="E4" s="4">
        <v>143</v>
      </c>
      <c r="F4" s="4">
        <v>0</v>
      </c>
      <c r="G4" s="4">
        <v>0</v>
      </c>
      <c r="H4" s="4">
        <v>120</v>
      </c>
      <c r="I4" s="4">
        <v>0</v>
      </c>
      <c r="J4" s="4">
        <v>0</v>
      </c>
      <c r="K4" s="4" t="str">
        <f t="shared" si="0"/>
        <v>Xác suất vỡ nợ của nhóm được rate AA</v>
      </c>
    </row>
    <row r="5" spans="1:11" x14ac:dyDescent="0.25">
      <c r="A5" s="4" t="s">
        <v>81</v>
      </c>
      <c r="B5" s="4">
        <v>245</v>
      </c>
      <c r="C5" s="4">
        <v>0</v>
      </c>
      <c r="D5" s="4">
        <v>0</v>
      </c>
      <c r="E5" s="4">
        <v>209</v>
      </c>
      <c r="F5" s="4">
        <v>0</v>
      </c>
      <c r="G5" s="4">
        <v>0</v>
      </c>
      <c r="H5" s="4">
        <v>207</v>
      </c>
      <c r="I5" s="4">
        <v>0</v>
      </c>
      <c r="J5" s="4">
        <v>0</v>
      </c>
      <c r="K5" s="4" t="str">
        <f t="shared" si="0"/>
        <v>Xác suất vỡ nợ của nhóm được rate AA-</v>
      </c>
    </row>
    <row r="6" spans="1:11" x14ac:dyDescent="0.25">
      <c r="A6" s="4" t="s">
        <v>82</v>
      </c>
      <c r="B6" s="4">
        <v>340</v>
      </c>
      <c r="C6" s="4">
        <v>1</v>
      </c>
      <c r="D6" s="4">
        <v>0.28999999999999998</v>
      </c>
      <c r="E6" s="4">
        <v>353</v>
      </c>
      <c r="F6" s="4">
        <v>0</v>
      </c>
      <c r="G6" s="4">
        <v>0</v>
      </c>
      <c r="H6" s="4">
        <v>357</v>
      </c>
      <c r="I6" s="4">
        <v>0</v>
      </c>
      <c r="J6" s="4">
        <v>0</v>
      </c>
      <c r="K6" s="4" t="str">
        <f t="shared" si="0"/>
        <v>Xác suất vỡ nợ của nhóm được rate A+</v>
      </c>
    </row>
    <row r="7" spans="1:11" x14ac:dyDescent="0.25">
      <c r="A7" s="4" t="s">
        <v>83</v>
      </c>
      <c r="B7" s="4">
        <v>510</v>
      </c>
      <c r="C7" s="4">
        <v>2</v>
      </c>
      <c r="D7" s="4">
        <v>0.39</v>
      </c>
      <c r="E7" s="4">
        <v>474</v>
      </c>
      <c r="F7" s="4">
        <v>0</v>
      </c>
      <c r="G7" s="4">
        <v>0</v>
      </c>
      <c r="H7" s="4">
        <v>470</v>
      </c>
      <c r="I7" s="4">
        <v>0</v>
      </c>
      <c r="J7" s="4">
        <v>0</v>
      </c>
      <c r="K7" s="4" t="str">
        <f t="shared" si="0"/>
        <v>Xác suất vỡ nợ của nhóm được rate A</v>
      </c>
    </row>
    <row r="8" spans="1:11" x14ac:dyDescent="0.25">
      <c r="A8" s="4" t="s">
        <v>84</v>
      </c>
      <c r="B8" s="4">
        <v>546</v>
      </c>
      <c r="C8" s="4">
        <v>0</v>
      </c>
      <c r="D8" s="4">
        <v>0</v>
      </c>
      <c r="E8" s="4">
        <v>528</v>
      </c>
      <c r="F8" s="4">
        <v>0</v>
      </c>
      <c r="G8" s="4">
        <v>0</v>
      </c>
      <c r="H8" s="4">
        <v>560</v>
      </c>
      <c r="I8" s="4">
        <v>0</v>
      </c>
      <c r="J8" s="4">
        <v>0</v>
      </c>
      <c r="K8" s="4" t="str">
        <f t="shared" si="0"/>
        <v>Xác suất vỡ nợ của nhóm được rate A-</v>
      </c>
    </row>
    <row r="9" spans="1:11" x14ac:dyDescent="0.25">
      <c r="A9" s="4" t="s">
        <v>85</v>
      </c>
      <c r="B9" s="4">
        <v>498</v>
      </c>
      <c r="C9" s="4">
        <v>2</v>
      </c>
      <c r="D9" s="4">
        <v>0.4</v>
      </c>
      <c r="E9" s="4">
        <v>457</v>
      </c>
      <c r="F9" s="4">
        <v>0</v>
      </c>
      <c r="G9" s="4">
        <v>0</v>
      </c>
      <c r="H9" s="4">
        <v>473</v>
      </c>
      <c r="I9" s="4">
        <v>0</v>
      </c>
      <c r="J9" s="4">
        <v>0</v>
      </c>
      <c r="K9" s="4" t="str">
        <f t="shared" si="0"/>
        <v>Xác suất vỡ nợ của nhóm được rate BBB+</v>
      </c>
    </row>
    <row r="10" spans="1:11" x14ac:dyDescent="0.25">
      <c r="A10" s="4" t="s">
        <v>86</v>
      </c>
      <c r="B10" s="4">
        <v>541</v>
      </c>
      <c r="C10" s="4">
        <v>1</v>
      </c>
      <c r="D10" s="4">
        <v>0.18</v>
      </c>
      <c r="E10" s="4">
        <v>583</v>
      </c>
      <c r="F10" s="4">
        <v>0</v>
      </c>
      <c r="G10" s="4">
        <v>0</v>
      </c>
      <c r="H10" s="4">
        <v>549</v>
      </c>
      <c r="I10" s="4">
        <v>0</v>
      </c>
      <c r="J10" s="4">
        <v>0</v>
      </c>
      <c r="K10" s="4" t="str">
        <f t="shared" si="0"/>
        <v>Xác suất vỡ nợ của nhóm được rate BBB</v>
      </c>
    </row>
    <row r="11" spans="1:11" x14ac:dyDescent="0.25">
      <c r="A11" s="4" t="s">
        <v>87</v>
      </c>
      <c r="B11" s="4">
        <v>459</v>
      </c>
      <c r="C11" s="4">
        <v>5</v>
      </c>
      <c r="D11" s="4">
        <v>1.0900000000000001</v>
      </c>
      <c r="E11" s="4">
        <v>430</v>
      </c>
      <c r="F11" s="4">
        <v>0</v>
      </c>
      <c r="G11" s="4">
        <v>0</v>
      </c>
      <c r="H11" s="4">
        <v>508</v>
      </c>
      <c r="I11" s="4">
        <v>1</v>
      </c>
      <c r="J11" s="4">
        <v>0.2</v>
      </c>
      <c r="K11" s="4" t="str">
        <f t="shared" si="0"/>
        <v>Xác suất vỡ nợ của nhóm được rate BBB-</v>
      </c>
    </row>
    <row r="12" spans="1:11" x14ac:dyDescent="0.25">
      <c r="A12" s="4" t="s">
        <v>88</v>
      </c>
      <c r="B12" s="4">
        <v>266</v>
      </c>
      <c r="C12" s="4">
        <v>0</v>
      </c>
      <c r="D12" s="4">
        <v>0</v>
      </c>
      <c r="E12" s="4">
        <v>254</v>
      </c>
      <c r="F12" s="4">
        <v>2</v>
      </c>
      <c r="G12" s="4">
        <v>0.79</v>
      </c>
      <c r="H12" s="4">
        <v>260</v>
      </c>
      <c r="I12" s="4">
        <v>0</v>
      </c>
      <c r="J12" s="4">
        <v>0</v>
      </c>
      <c r="K12" s="4" t="str">
        <f t="shared" si="0"/>
        <v>Xác suất vỡ nợ của nhóm được rate BB+</v>
      </c>
    </row>
    <row r="13" spans="1:11" x14ac:dyDescent="0.25">
      <c r="A13" s="4" t="s">
        <v>89</v>
      </c>
      <c r="B13" s="4">
        <v>295</v>
      </c>
      <c r="C13" s="4">
        <v>3</v>
      </c>
      <c r="D13" s="4">
        <v>1.02</v>
      </c>
      <c r="E13" s="4">
        <v>276</v>
      </c>
      <c r="F13" s="4">
        <v>1</v>
      </c>
      <c r="G13" s="4">
        <v>0.36</v>
      </c>
      <c r="H13" s="4">
        <v>319</v>
      </c>
      <c r="I13" s="4">
        <v>0</v>
      </c>
      <c r="J13" s="4">
        <v>0</v>
      </c>
      <c r="K13" s="4" t="str">
        <f t="shared" si="0"/>
        <v>Xác suất vỡ nợ của nhóm được rate BB</v>
      </c>
    </row>
    <row r="14" spans="1:11" x14ac:dyDescent="0.25">
      <c r="A14" s="4" t="s">
        <v>90</v>
      </c>
      <c r="B14" s="4">
        <v>441</v>
      </c>
      <c r="C14" s="4">
        <v>4</v>
      </c>
      <c r="D14" s="4">
        <v>0.91</v>
      </c>
      <c r="E14" s="4">
        <v>379</v>
      </c>
      <c r="F14" s="4">
        <v>2</v>
      </c>
      <c r="G14" s="4">
        <v>0.53</v>
      </c>
      <c r="H14" s="4">
        <v>403</v>
      </c>
      <c r="I14" s="4">
        <v>0</v>
      </c>
      <c r="J14" s="4">
        <v>0</v>
      </c>
      <c r="K14" s="4" t="str">
        <f t="shared" si="0"/>
        <v>Xác suất vỡ nợ của nhóm được rate BB-</v>
      </c>
    </row>
    <row r="15" spans="1:11" x14ac:dyDescent="0.25">
      <c r="A15" s="4" t="s">
        <v>91</v>
      </c>
      <c r="B15" s="4">
        <v>438</v>
      </c>
      <c r="C15" s="4">
        <v>24</v>
      </c>
      <c r="D15" s="4">
        <v>5.48</v>
      </c>
      <c r="E15" s="4">
        <v>393</v>
      </c>
      <c r="F15" s="4">
        <v>0</v>
      </c>
      <c r="G15" s="4">
        <v>0</v>
      </c>
      <c r="H15" s="4">
        <v>509</v>
      </c>
      <c r="I15" s="4">
        <v>2</v>
      </c>
      <c r="J15" s="4">
        <v>0.39</v>
      </c>
      <c r="K15" s="4" t="str">
        <f t="shared" si="0"/>
        <v>Xác suất vỡ nợ của nhóm được rate B+</v>
      </c>
    </row>
    <row r="16" spans="1:11" x14ac:dyDescent="0.25">
      <c r="A16" s="4" t="s">
        <v>92</v>
      </c>
      <c r="B16" s="4">
        <v>482</v>
      </c>
      <c r="C16" s="4">
        <v>48</v>
      </c>
      <c r="D16" s="4">
        <v>9.9600000000000009</v>
      </c>
      <c r="E16" s="4">
        <v>436</v>
      </c>
      <c r="F16" s="4">
        <v>3</v>
      </c>
      <c r="G16" s="4">
        <v>0.69</v>
      </c>
      <c r="H16" s="4">
        <v>586</v>
      </c>
      <c r="I16" s="4">
        <v>7</v>
      </c>
      <c r="J16" s="4">
        <v>1.19</v>
      </c>
      <c r="K16" s="4" t="str">
        <f t="shared" si="0"/>
        <v>Xác suất vỡ nợ của nhóm được rate B</v>
      </c>
    </row>
    <row r="17" spans="1:11" x14ac:dyDescent="0.25">
      <c r="A17" s="4" t="s">
        <v>93</v>
      </c>
      <c r="B17" s="4">
        <v>303</v>
      </c>
      <c r="C17" s="4">
        <v>52</v>
      </c>
      <c r="D17" s="4">
        <v>17.16</v>
      </c>
      <c r="E17" s="4">
        <v>290</v>
      </c>
      <c r="F17" s="4">
        <v>6</v>
      </c>
      <c r="G17" s="4">
        <v>2.0699999999999998</v>
      </c>
      <c r="H17" s="4">
        <v>301</v>
      </c>
      <c r="I17" s="4">
        <v>12</v>
      </c>
      <c r="J17" s="4">
        <v>3.99</v>
      </c>
      <c r="K17" s="4" t="str">
        <f t="shared" si="0"/>
        <v>Xác suất vỡ nợ của nhóm được rate B-</v>
      </c>
    </row>
    <row r="18" spans="1:11" x14ac:dyDescent="0.25">
      <c r="A18" s="4" t="s">
        <v>94</v>
      </c>
      <c r="B18" s="4">
        <v>190</v>
      </c>
      <c r="C18" s="4">
        <v>92</v>
      </c>
      <c r="D18" s="4">
        <v>48.42</v>
      </c>
      <c r="E18" s="4">
        <v>220</v>
      </c>
      <c r="F18" s="4">
        <v>49</v>
      </c>
      <c r="G18" s="4">
        <v>22.27</v>
      </c>
      <c r="H18" s="4">
        <v>138</v>
      </c>
      <c r="I18" s="4">
        <v>22</v>
      </c>
      <c r="J18" s="4">
        <v>15.94</v>
      </c>
      <c r="K18" s="4" t="str">
        <f t="shared" si="0"/>
        <v>Xác suất vỡ nợ của nhóm được rate CCC-C</v>
      </c>
    </row>
    <row r="19" spans="1:11" x14ac:dyDescent="0.25">
      <c r="A19" s="4" t="s">
        <v>95</v>
      </c>
      <c r="B19" s="4">
        <v>5860</v>
      </c>
      <c r="C19" s="4">
        <v>234</v>
      </c>
      <c r="D19" s="4">
        <v>3.99</v>
      </c>
      <c r="E19" s="4">
        <v>5522</v>
      </c>
      <c r="F19" s="4">
        <v>63</v>
      </c>
      <c r="G19" s="4">
        <v>1.1399999999999999</v>
      </c>
      <c r="H19" s="4">
        <v>5847</v>
      </c>
      <c r="I19" s="4">
        <v>44</v>
      </c>
      <c r="J19" s="4">
        <v>0.75</v>
      </c>
      <c r="K19" s="4" t="str">
        <f t="shared" si="0"/>
        <v>Xác suất vỡ nợ của nhóm được rate All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GQ266"/>
  <sheetViews>
    <sheetView tabSelected="1" topLeftCell="P1" zoomScaleNormal="100" workbookViewId="0">
      <selection activeCell="AE20" sqref="AE20"/>
    </sheetView>
  </sheetViews>
  <sheetFormatPr defaultRowHeight="12" x14ac:dyDescent="0.2"/>
  <cols>
    <col min="1" max="1" width="13.7109375" style="20" customWidth="1"/>
    <col min="2" max="2" width="20.28515625" style="55" hidden="1" customWidth="1"/>
    <col min="3" max="3" width="10.85546875" style="20" hidden="1" customWidth="1"/>
    <col min="4" max="4" width="11.140625" style="71" bestFit="1" customWidth="1"/>
    <col min="5" max="5" width="9.140625" style="21" hidden="1" customWidth="1"/>
    <col min="6" max="6" width="10.85546875" style="21" bestFit="1" customWidth="1"/>
    <col min="7" max="7" width="10.5703125" style="21" bestFit="1" customWidth="1"/>
    <col min="8" max="8" width="8.85546875" style="21" bestFit="1" customWidth="1"/>
    <col min="9" max="9" width="7.7109375" style="21" customWidth="1"/>
    <col min="10" max="10" width="18.140625" style="20" customWidth="1"/>
    <col min="11" max="11" width="18.42578125" style="20" customWidth="1"/>
    <col min="12" max="12" width="18.42578125" style="91" customWidth="1"/>
    <col min="13" max="13" width="18" style="20" bestFit="1" customWidth="1"/>
    <col min="14" max="14" width="18" style="20" customWidth="1"/>
    <col min="15" max="15" width="13.7109375" style="20" customWidth="1"/>
    <col min="16" max="16" width="12" style="23" customWidth="1"/>
    <col min="17" max="17" width="11" style="20" bestFit="1" customWidth="1"/>
    <col min="18" max="18" width="4.42578125" style="20" bestFit="1" customWidth="1"/>
    <col min="19" max="19" width="6.5703125" style="20" bestFit="1" customWidth="1"/>
    <col min="20" max="20" width="12" style="20" bestFit="1" customWidth="1"/>
    <col min="21" max="21" width="20.28515625" style="20" bestFit="1" customWidth="1"/>
    <col min="22" max="22" width="6.140625" style="20" customWidth="1"/>
    <col min="23" max="25" width="11.42578125" style="20" bestFit="1" customWidth="1"/>
    <col min="26" max="177" width="6.140625" style="20" customWidth="1"/>
    <col min="178" max="197" width="7.140625" style="20" customWidth="1"/>
    <col min="198" max="198" width="11.28515625" style="20" customWidth="1"/>
    <col min="199" max="199" width="11.28515625" style="20" bestFit="1" customWidth="1"/>
    <col min="200" max="16384" width="9.140625" style="20"/>
  </cols>
  <sheetData>
    <row r="1" spans="1:39" x14ac:dyDescent="0.2">
      <c r="A1" s="77" t="s">
        <v>182</v>
      </c>
    </row>
    <row r="2" spans="1:39" ht="24" x14ac:dyDescent="0.2">
      <c r="A2" s="33" t="s">
        <v>98</v>
      </c>
      <c r="B2" s="72"/>
      <c r="C2" s="33"/>
      <c r="D2" s="68" t="s">
        <v>97</v>
      </c>
      <c r="E2" s="34"/>
      <c r="F2" s="34"/>
      <c r="G2" s="34" t="s">
        <v>99</v>
      </c>
      <c r="H2" s="34" t="s">
        <v>100</v>
      </c>
      <c r="I2" s="34" t="s">
        <v>101</v>
      </c>
      <c r="J2" s="46"/>
      <c r="K2" s="109" t="s">
        <v>106</v>
      </c>
      <c r="L2" s="109"/>
      <c r="M2" s="109"/>
      <c r="N2" s="54"/>
      <c r="O2" s="61">
        <v>2.8042011137832393E-2</v>
      </c>
      <c r="P2" s="47"/>
      <c r="Q2" s="46"/>
      <c r="R2" s="56"/>
      <c r="S2" s="56"/>
      <c r="T2" s="82" t="s">
        <v>165</v>
      </c>
      <c r="U2" s="86">
        <v>-5.758655170359761</v>
      </c>
    </row>
    <row r="3" spans="1:39" x14ac:dyDescent="0.2">
      <c r="A3" s="33"/>
      <c r="B3" s="72"/>
      <c r="C3" s="33"/>
      <c r="D3" s="68"/>
      <c r="E3" s="34"/>
      <c r="F3" s="34"/>
      <c r="G3" s="34"/>
      <c r="H3" s="34"/>
      <c r="I3" s="34"/>
      <c r="J3" s="46"/>
      <c r="K3" s="46"/>
      <c r="L3" s="46"/>
      <c r="M3" s="46"/>
      <c r="N3" s="46"/>
      <c r="O3" s="46"/>
      <c r="P3" s="47"/>
      <c r="Q3" s="46"/>
      <c r="R3" s="56"/>
      <c r="S3" s="56"/>
      <c r="T3" s="82" t="s">
        <v>166</v>
      </c>
      <c r="U3" s="86">
        <v>0.55383284049107095</v>
      </c>
    </row>
    <row r="4" spans="1:39" s="22" customFormat="1" ht="24" x14ac:dyDescent="0.25">
      <c r="A4" s="36" t="s">
        <v>13</v>
      </c>
      <c r="B4" s="73" t="s">
        <v>14</v>
      </c>
      <c r="C4" s="36" t="s">
        <v>164</v>
      </c>
      <c r="D4" s="69" t="s">
        <v>15</v>
      </c>
      <c r="E4" s="37" t="s">
        <v>16</v>
      </c>
      <c r="F4" s="37" t="s">
        <v>17</v>
      </c>
      <c r="G4" s="37" t="s">
        <v>18</v>
      </c>
      <c r="H4" s="37" t="s">
        <v>19</v>
      </c>
      <c r="I4" s="37" t="s">
        <v>20</v>
      </c>
      <c r="J4" s="48" t="s">
        <v>102</v>
      </c>
      <c r="K4" s="48" t="s">
        <v>103</v>
      </c>
      <c r="L4" s="48"/>
      <c r="M4" s="48" t="s">
        <v>104</v>
      </c>
      <c r="N4" s="48"/>
      <c r="O4" s="48" t="s">
        <v>105</v>
      </c>
      <c r="P4" s="49" t="s">
        <v>193</v>
      </c>
      <c r="Q4" s="53" t="s">
        <v>183</v>
      </c>
      <c r="R4" s="57" t="s">
        <v>167</v>
      </c>
      <c r="S4" s="57"/>
      <c r="T4" s="83"/>
      <c r="U4" s="84" t="s">
        <v>184</v>
      </c>
      <c r="V4" s="22" t="s">
        <v>185</v>
      </c>
      <c r="W4" s="22" t="s">
        <v>183</v>
      </c>
      <c r="X4" s="22" t="s">
        <v>184</v>
      </c>
      <c r="Y4" s="22" t="s">
        <v>186</v>
      </c>
    </row>
    <row r="5" spans="1:39" x14ac:dyDescent="0.2">
      <c r="A5" s="35" t="s">
        <v>21</v>
      </c>
      <c r="B5" s="74" t="s">
        <v>34</v>
      </c>
      <c r="C5" s="38">
        <v>0</v>
      </c>
      <c r="D5" s="88">
        <v>0</v>
      </c>
      <c r="E5" s="38">
        <v>19</v>
      </c>
      <c r="F5" s="38">
        <v>19</v>
      </c>
      <c r="G5" s="39">
        <f>D5/F5</f>
        <v>0</v>
      </c>
      <c r="H5" s="39">
        <f>D5/$D$12</f>
        <v>0</v>
      </c>
      <c r="I5" s="39">
        <f>E5/$E$12</f>
        <v>0.125</v>
      </c>
      <c r="J5" s="46">
        <f>SUM($D$5:D5)</f>
        <v>0</v>
      </c>
      <c r="K5" s="46">
        <f>SUM($F$5:F5)</f>
        <v>19</v>
      </c>
      <c r="L5" s="46">
        <f>J5/K5</f>
        <v>0</v>
      </c>
      <c r="M5" s="50">
        <f>J5/$J$11</f>
        <v>0</v>
      </c>
      <c r="N5" s="50">
        <f>SUM($E$5:E5)/$E$12</f>
        <v>0.125</v>
      </c>
      <c r="O5" s="50">
        <f>K5/$K$11</f>
        <v>0.10106382978723404</v>
      </c>
      <c r="P5" s="47">
        <f>M5/O5</f>
        <v>0</v>
      </c>
      <c r="Q5" s="50">
        <f>$O$2*P5</f>
        <v>0</v>
      </c>
      <c r="R5" s="60">
        <v>1</v>
      </c>
      <c r="S5" s="58">
        <f>EXP($U$2+$U$3*R5)-Q5</f>
        <v>5.4900257678805959E-3</v>
      </c>
      <c r="T5" s="92">
        <f>S5^2</f>
        <v>3.0140382931992925E-5</v>
      </c>
      <c r="U5" s="85">
        <f>1/(1+EXP(-$U$2-$U$3*R5))</f>
        <v>5.4600499529450126E-3</v>
      </c>
      <c r="V5" s="20">
        <v>7</v>
      </c>
      <c r="W5" s="91">
        <v>0.14644161371979145</v>
      </c>
      <c r="X5" s="91">
        <v>0.13217935796885832</v>
      </c>
      <c r="Y5" s="20">
        <v>0.125</v>
      </c>
    </row>
    <row r="6" spans="1:39" x14ac:dyDescent="0.2">
      <c r="A6" s="35" t="s">
        <v>22</v>
      </c>
      <c r="B6" s="74" t="s">
        <v>23</v>
      </c>
      <c r="C6" s="38">
        <v>1</v>
      </c>
      <c r="D6" s="88">
        <v>2</v>
      </c>
      <c r="E6" s="38">
        <v>36</v>
      </c>
      <c r="F6" s="38">
        <v>38</v>
      </c>
      <c r="G6" s="39">
        <f t="shared" ref="G6:G11" si="0">D6/F6</f>
        <v>5.2631578947368418E-2</v>
      </c>
      <c r="H6" s="39">
        <f>D6/$D$12</f>
        <v>5.5555555555555552E-2</v>
      </c>
      <c r="I6" s="39">
        <f t="shared" ref="I6:I11" si="1">E6/$E$12</f>
        <v>0.23684210526315788</v>
      </c>
      <c r="J6" s="46">
        <f>SUM($D$5:D6)</f>
        <v>2</v>
      </c>
      <c r="K6" s="46">
        <f>SUM($F$5:F6)</f>
        <v>57</v>
      </c>
      <c r="L6" s="46">
        <f t="shared" ref="L6:L11" si="2">J6/K6</f>
        <v>3.5087719298245612E-2</v>
      </c>
      <c r="M6" s="50">
        <f t="shared" ref="M6:M11" si="3">J6/$J$11</f>
        <v>5.5555555555555552E-2</v>
      </c>
      <c r="N6" s="50">
        <f>SUM($E$5:E6)/$E$12</f>
        <v>0.36184210526315791</v>
      </c>
      <c r="O6" s="50">
        <f t="shared" ref="O6:O11" si="4">K6/$K$11</f>
        <v>0.30319148936170215</v>
      </c>
      <c r="P6" s="47">
        <f>(M6-M5)/(O6-O5)</f>
        <v>0.27485380116959063</v>
      </c>
      <c r="Q6" s="50">
        <f t="shared" ref="Q6:Q10" si="5">$O$2*P6</f>
        <v>7.7074533536732309E-3</v>
      </c>
      <c r="R6" s="60">
        <v>2</v>
      </c>
      <c r="S6" s="58">
        <f t="shared" ref="S6:S11" si="6">EXP($U$2+$U$3*R6)-Q6</f>
        <v>1.8446921526142131E-3</v>
      </c>
      <c r="T6" s="92">
        <f t="shared" ref="T6:T8" si="7">S6^2</f>
        <v>3.4028891379164595E-6</v>
      </c>
      <c r="U6" s="85">
        <f t="shared" ref="U6:U9" si="8">1/(1+EXP(-$U$2-$U$3*R6))</f>
        <v>9.4617653469470566E-3</v>
      </c>
      <c r="V6" s="20">
        <v>6</v>
      </c>
      <c r="W6" s="91">
        <v>0.10250912960385392</v>
      </c>
      <c r="X6" s="91">
        <v>8.04936887250009E-2</v>
      </c>
      <c r="Y6" s="20">
        <v>0.36184210526315791</v>
      </c>
    </row>
    <row r="7" spans="1:39" x14ac:dyDescent="0.2">
      <c r="A7" s="35" t="s">
        <v>24</v>
      </c>
      <c r="B7" s="74" t="s">
        <v>25</v>
      </c>
      <c r="C7" s="38">
        <v>5</v>
      </c>
      <c r="D7" s="88">
        <v>4</v>
      </c>
      <c r="E7" s="38">
        <v>51</v>
      </c>
      <c r="F7" s="38">
        <v>55</v>
      </c>
      <c r="G7" s="39">
        <f t="shared" si="0"/>
        <v>7.2727272727272724E-2</v>
      </c>
      <c r="H7" s="39">
        <f t="shared" ref="H7:H10" si="9">D7/$D$12</f>
        <v>0.1111111111111111</v>
      </c>
      <c r="I7" s="39">
        <f t="shared" si="1"/>
        <v>0.33552631578947367</v>
      </c>
      <c r="J7" s="46">
        <f>SUM($D$5:D7)</f>
        <v>6</v>
      </c>
      <c r="K7" s="46">
        <f>SUM($F$5:F7)</f>
        <v>112</v>
      </c>
      <c r="L7" s="46">
        <f t="shared" si="2"/>
        <v>5.3571428571428568E-2</v>
      </c>
      <c r="M7" s="50">
        <f t="shared" si="3"/>
        <v>0.16666666666666666</v>
      </c>
      <c r="N7" s="50">
        <f>SUM($E$5:E7)/$E$12</f>
        <v>0.69736842105263153</v>
      </c>
      <c r="O7" s="50">
        <f t="shared" si="4"/>
        <v>0.5957446808510638</v>
      </c>
      <c r="P7" s="47">
        <f>(M7-M6)/(O7-O6)</f>
        <v>0.37979797979797986</v>
      </c>
      <c r="Q7" s="50">
        <f t="shared" si="5"/>
        <v>1.0650299179621193E-2</v>
      </c>
      <c r="R7" s="60">
        <v>3</v>
      </c>
      <c r="S7" s="58">
        <f t="shared" si="6"/>
        <v>5.96956521283897E-3</v>
      </c>
      <c r="T7" s="92">
        <f t="shared" si="7"/>
        <v>3.5635708830337179E-5</v>
      </c>
      <c r="U7" s="85">
        <f t="shared" si="8"/>
        <v>1.6348160187084602E-2</v>
      </c>
      <c r="V7" s="91">
        <v>5</v>
      </c>
      <c r="W7" s="91">
        <v>4.7070518695647233E-2</v>
      </c>
      <c r="X7" s="91">
        <v>4.7902900551965971E-2</v>
      </c>
      <c r="Y7" s="20">
        <v>0.69736842105263153</v>
      </c>
    </row>
    <row r="8" spans="1:39" x14ac:dyDescent="0.2">
      <c r="A8" s="35" t="s">
        <v>26</v>
      </c>
      <c r="B8" s="74" t="s">
        <v>27</v>
      </c>
      <c r="C8" s="38">
        <v>0</v>
      </c>
      <c r="D8" s="88">
        <v>5</v>
      </c>
      <c r="E8" s="38">
        <v>24</v>
      </c>
      <c r="F8" s="38">
        <v>29</v>
      </c>
      <c r="G8" s="39">
        <f t="shared" si="0"/>
        <v>0.17241379310344829</v>
      </c>
      <c r="H8" s="39">
        <f t="shared" si="9"/>
        <v>0.1388888888888889</v>
      </c>
      <c r="I8" s="39">
        <f t="shared" si="1"/>
        <v>0.15789473684210525</v>
      </c>
      <c r="J8" s="46">
        <f>SUM($D$5:D8)</f>
        <v>11</v>
      </c>
      <c r="K8" s="46">
        <f>SUM($F$5:F8)</f>
        <v>141</v>
      </c>
      <c r="L8" s="46">
        <f t="shared" si="2"/>
        <v>7.8014184397163122E-2</v>
      </c>
      <c r="M8" s="50">
        <f t="shared" si="3"/>
        <v>0.30555555555555558</v>
      </c>
      <c r="N8" s="50">
        <f>SUM($E$5:E8)/$E$12</f>
        <v>0.85526315789473684</v>
      </c>
      <c r="O8" s="50">
        <f t="shared" si="4"/>
        <v>0.75</v>
      </c>
      <c r="P8" s="47">
        <f>(M8-M7)/(O8-O7)</f>
        <v>0.90038314176245215</v>
      </c>
      <c r="Q8" s="50">
        <f t="shared" si="5"/>
        <v>2.5248554089619207E-2</v>
      </c>
      <c r="R8" s="60">
        <v>4</v>
      </c>
      <c r="S8" s="58">
        <f t="shared" si="6"/>
        <v>3.6684983403244865E-3</v>
      </c>
      <c r="T8" s="92">
        <f t="shared" si="7"/>
        <v>1.3457880072963512E-5</v>
      </c>
      <c r="U8" s="85">
        <f t="shared" si="8"/>
        <v>2.810435725761536E-2</v>
      </c>
      <c r="V8" s="91">
        <v>4</v>
      </c>
      <c r="W8" s="91">
        <v>2.5248554089619207E-2</v>
      </c>
      <c r="X8" s="91">
        <v>2.810435725761536E-2</v>
      </c>
      <c r="Y8" s="20">
        <v>0.85526315789473684</v>
      </c>
    </row>
    <row r="9" spans="1:39" x14ac:dyDescent="0.2">
      <c r="A9" s="35" t="s">
        <v>28</v>
      </c>
      <c r="B9" s="74" t="s">
        <v>163</v>
      </c>
      <c r="C9" s="38">
        <v>4</v>
      </c>
      <c r="D9" s="88">
        <v>9</v>
      </c>
      <c r="E9" s="38">
        <v>19</v>
      </c>
      <c r="F9" s="38">
        <v>28</v>
      </c>
      <c r="G9" s="39">
        <f t="shared" si="0"/>
        <v>0.32142857142857145</v>
      </c>
      <c r="H9" s="39">
        <f t="shared" si="9"/>
        <v>0.25</v>
      </c>
      <c r="I9" s="39">
        <f t="shared" si="1"/>
        <v>0.125</v>
      </c>
      <c r="J9" s="46">
        <f>SUM($D$5:D9)</f>
        <v>20</v>
      </c>
      <c r="K9" s="46">
        <f>SUM($F$5:F9)</f>
        <v>169</v>
      </c>
      <c r="L9" s="46">
        <f t="shared" si="2"/>
        <v>0.11834319526627218</v>
      </c>
      <c r="M9" s="50">
        <f t="shared" si="3"/>
        <v>0.55555555555555558</v>
      </c>
      <c r="N9" s="50">
        <f>SUM($E$5:E9)/$E$12</f>
        <v>0.98026315789473684</v>
      </c>
      <c r="O9" s="50">
        <f t="shared" si="4"/>
        <v>0.89893617021276595</v>
      </c>
      <c r="P9" s="47">
        <f t="shared" ref="P9:P10" si="10">(M9-M8)/(O9-O8)</f>
        <v>1.6785714285714286</v>
      </c>
      <c r="Q9" s="50">
        <f t="shared" si="5"/>
        <v>4.7070518695647233E-2</v>
      </c>
      <c r="R9" s="60">
        <v>5</v>
      </c>
      <c r="S9" s="58">
        <f t="shared" si="6"/>
        <v>3.2425224634289387E-3</v>
      </c>
      <c r="T9" s="92">
        <f>S9^2</f>
        <v>1.0513951925841273E-5</v>
      </c>
      <c r="U9" s="85">
        <f t="shared" si="8"/>
        <v>4.7902900551965971E-2</v>
      </c>
      <c r="V9" s="91">
        <v>3</v>
      </c>
      <c r="W9" s="91">
        <v>1.0650299179621193E-2</v>
      </c>
      <c r="X9" s="91">
        <v>1.6348160187084602E-2</v>
      </c>
      <c r="Y9" s="20">
        <v>0.98026315789473684</v>
      </c>
    </row>
    <row r="10" spans="1:39" x14ac:dyDescent="0.2">
      <c r="A10" s="35" t="s">
        <v>29</v>
      </c>
      <c r="B10" s="74" t="s">
        <v>30</v>
      </c>
      <c r="C10" s="38">
        <v>1</v>
      </c>
      <c r="D10" s="88">
        <v>7</v>
      </c>
      <c r="E10" s="38">
        <v>3</v>
      </c>
      <c r="F10" s="38">
        <v>10</v>
      </c>
      <c r="G10" s="39">
        <f>D10/F10</f>
        <v>0.7</v>
      </c>
      <c r="H10" s="39">
        <f t="shared" si="9"/>
        <v>0.19444444444444445</v>
      </c>
      <c r="I10" s="39">
        <f t="shared" si="1"/>
        <v>1.9736842105263157E-2</v>
      </c>
      <c r="J10" s="46">
        <f>SUM($D$5:D10)</f>
        <v>27</v>
      </c>
      <c r="K10" s="46">
        <f>SUM($F$5:F10)</f>
        <v>179</v>
      </c>
      <c r="L10" s="46">
        <f t="shared" si="2"/>
        <v>0.15083798882681565</v>
      </c>
      <c r="M10" s="50">
        <f>J10/$J$11</f>
        <v>0.75</v>
      </c>
      <c r="N10" s="50">
        <f>SUM($E$5:E10)/$E$12</f>
        <v>1</v>
      </c>
      <c r="O10" s="50">
        <f t="shared" si="4"/>
        <v>0.9521276595744681</v>
      </c>
      <c r="P10" s="47">
        <f t="shared" si="10"/>
        <v>3.6555555555555537</v>
      </c>
      <c r="Q10" s="50">
        <f t="shared" si="5"/>
        <v>0.10250912960385392</v>
      </c>
      <c r="R10" s="60">
        <v>6</v>
      </c>
      <c r="S10" s="58">
        <f t="shared" si="6"/>
        <v>-1.4969014067955824E-2</v>
      </c>
      <c r="T10" s="92">
        <f>S10^2</f>
        <v>2.2407138216665938E-4</v>
      </c>
      <c r="U10" s="85">
        <f>1/(1+EXP(-$U$2-$U$3*R10))</f>
        <v>8.04936887250009E-2</v>
      </c>
      <c r="V10" s="91">
        <v>2</v>
      </c>
      <c r="W10" s="91">
        <v>7.7074533536732309E-3</v>
      </c>
      <c r="X10" s="91">
        <v>9.4617653469470566E-3</v>
      </c>
      <c r="Y10" s="20">
        <v>1</v>
      </c>
    </row>
    <row r="11" spans="1:39" x14ac:dyDescent="0.2">
      <c r="A11" s="35" t="s">
        <v>31</v>
      </c>
      <c r="B11" s="74" t="s">
        <v>32</v>
      </c>
      <c r="C11" s="38">
        <v>0</v>
      </c>
      <c r="D11" s="88">
        <v>9</v>
      </c>
      <c r="E11" s="38">
        <v>0</v>
      </c>
      <c r="F11" s="38">
        <v>9</v>
      </c>
      <c r="G11" s="39">
        <f t="shared" si="0"/>
        <v>1</v>
      </c>
      <c r="H11" s="39">
        <f>D11/$D$12</f>
        <v>0.25</v>
      </c>
      <c r="I11" s="39">
        <f t="shared" si="1"/>
        <v>0</v>
      </c>
      <c r="J11" s="90">
        <f>SUM($D$5:D11)</f>
        <v>36</v>
      </c>
      <c r="K11" s="46">
        <f>SUM($F$5:F11)</f>
        <v>188</v>
      </c>
      <c r="L11" s="46">
        <f t="shared" si="2"/>
        <v>0.19148936170212766</v>
      </c>
      <c r="M11" s="50">
        <f t="shared" si="3"/>
        <v>1</v>
      </c>
      <c r="N11" s="50">
        <f>SUM($E$5:E11)/$E$12</f>
        <v>1</v>
      </c>
      <c r="O11" s="50">
        <f t="shared" si="4"/>
        <v>1</v>
      </c>
      <c r="P11" s="47">
        <f>(M11-M10)/(O11-O10)</f>
        <v>5.2222222222222241</v>
      </c>
      <c r="Q11" s="47">
        <f>$O$2*P11</f>
        <v>0.14644161371979145</v>
      </c>
      <c r="R11" s="60">
        <v>7</v>
      </c>
      <c r="S11" s="58">
        <f t="shared" si="6"/>
        <v>5.8702253481193734E-3</v>
      </c>
      <c r="T11" s="92">
        <f>S11^2</f>
        <v>3.4459545637703216E-5</v>
      </c>
      <c r="U11" s="85">
        <f>1/(1+EXP(-$U$2-$U$3*R11))</f>
        <v>0.13217935796885832</v>
      </c>
      <c r="V11" s="91">
        <v>1</v>
      </c>
      <c r="W11" s="91">
        <v>0</v>
      </c>
      <c r="X11" s="91">
        <v>5.4600499529450126E-3</v>
      </c>
      <c r="Y11" s="20">
        <v>1</v>
      </c>
    </row>
    <row r="12" spans="1:39" x14ac:dyDescent="0.2">
      <c r="A12" s="35" t="s">
        <v>95</v>
      </c>
      <c r="B12" s="74"/>
      <c r="C12" s="38">
        <f>SUM(C5:C11)</f>
        <v>11</v>
      </c>
      <c r="D12" s="89">
        <f>SUM(D5:D11)</f>
        <v>36</v>
      </c>
      <c r="E12" s="38">
        <f>SUM(E5:E11)</f>
        <v>152</v>
      </c>
      <c r="F12" s="38">
        <f>SUM(F5:F11)</f>
        <v>188</v>
      </c>
      <c r="G12" s="39">
        <f>D12/F12</f>
        <v>0.19148936170212766</v>
      </c>
      <c r="H12" s="38"/>
      <c r="I12" s="38"/>
      <c r="J12" s="46"/>
      <c r="K12" s="46"/>
      <c r="L12" s="46"/>
      <c r="M12" s="46"/>
      <c r="N12" s="46"/>
      <c r="O12" s="46"/>
      <c r="P12" s="47"/>
      <c r="Q12" s="50"/>
      <c r="R12" s="58"/>
      <c r="S12" s="58"/>
      <c r="T12" s="92">
        <f>SUM(T5:T11)</f>
        <v>3.5168174070341392E-4</v>
      </c>
      <c r="U12" s="85"/>
    </row>
    <row r="15" spans="1:39" s="22" customFormat="1" ht="24" x14ac:dyDescent="0.25">
      <c r="A15" s="40" t="s">
        <v>35</v>
      </c>
      <c r="B15" s="75" t="s">
        <v>14</v>
      </c>
      <c r="C15" s="40"/>
      <c r="D15" s="70" t="s">
        <v>15</v>
      </c>
      <c r="E15" s="37" t="s">
        <v>16</v>
      </c>
      <c r="F15" s="37" t="s">
        <v>36</v>
      </c>
      <c r="G15" s="37" t="s">
        <v>18</v>
      </c>
      <c r="H15" s="37" t="s">
        <v>19</v>
      </c>
      <c r="I15" s="37" t="s">
        <v>20</v>
      </c>
      <c r="J15" s="48" t="s">
        <v>102</v>
      </c>
      <c r="K15" s="48" t="s">
        <v>103</v>
      </c>
      <c r="L15" s="48"/>
      <c r="M15" s="48" t="s">
        <v>104</v>
      </c>
      <c r="N15" s="48"/>
      <c r="O15" s="48" t="s">
        <v>105</v>
      </c>
      <c r="P15" s="49"/>
      <c r="Q15" s="48" t="s">
        <v>107</v>
      </c>
      <c r="R15" s="59"/>
      <c r="S15" s="59"/>
      <c r="U15" s="87"/>
    </row>
    <row r="16" spans="1:39" x14ac:dyDescent="0.2">
      <c r="A16" s="35" t="s">
        <v>37</v>
      </c>
      <c r="B16" s="74" t="s">
        <v>38</v>
      </c>
      <c r="C16" s="35"/>
      <c r="D16" s="39">
        <v>0</v>
      </c>
      <c r="E16" s="38">
        <v>10</v>
      </c>
      <c r="F16" s="38">
        <f t="shared" ref="F16:F22" si="11">D16+E16</f>
        <v>10</v>
      </c>
      <c r="G16" s="39">
        <f>D16/F16</f>
        <v>0</v>
      </c>
      <c r="H16" s="39">
        <f>D16/36</f>
        <v>0</v>
      </c>
      <c r="I16" s="39">
        <f>E16/152</f>
        <v>6.5789473684210523E-2</v>
      </c>
      <c r="J16" s="46">
        <f>SUM($D$16:D16)</f>
        <v>0</v>
      </c>
      <c r="K16" s="46">
        <f>SUM($F$16:F16)</f>
        <v>10</v>
      </c>
      <c r="L16" s="46"/>
      <c r="M16" s="47">
        <f>J16/$J$35</f>
        <v>0</v>
      </c>
      <c r="N16" s="47"/>
      <c r="O16" s="47">
        <f>K16/$K$35</f>
        <v>5.3191489361702128E-2</v>
      </c>
      <c r="P16" s="47">
        <f>M16/O16</f>
        <v>0</v>
      </c>
      <c r="Q16" s="50">
        <f>P16*$O$2</f>
        <v>0</v>
      </c>
      <c r="R16" s="58"/>
      <c r="S16" s="58"/>
      <c r="U16" s="87"/>
      <c r="V16" s="22"/>
      <c r="X16" s="52"/>
      <c r="Z16" s="52"/>
      <c r="AA16" s="52"/>
      <c r="AB16" s="52"/>
      <c r="AC16" s="52"/>
      <c r="AM16" s="20">
        <v>1</v>
      </c>
    </row>
    <row r="17" spans="1:39" x14ac:dyDescent="0.2">
      <c r="A17" s="35" t="s">
        <v>39</v>
      </c>
      <c r="B17" s="74" t="s">
        <v>40</v>
      </c>
      <c r="C17" s="35"/>
      <c r="D17" s="39">
        <v>0</v>
      </c>
      <c r="E17" s="38">
        <v>9</v>
      </c>
      <c r="F17" s="38">
        <f t="shared" si="11"/>
        <v>9</v>
      </c>
      <c r="G17" s="39">
        <f t="shared" ref="G17:G35" si="12">D17/F17</f>
        <v>0</v>
      </c>
      <c r="H17" s="39">
        <f t="shared" ref="H17:H35" si="13">D17/36</f>
        <v>0</v>
      </c>
      <c r="I17" s="39">
        <f t="shared" ref="I17:I35" si="14">E17/152</f>
        <v>5.921052631578947E-2</v>
      </c>
      <c r="J17" s="46">
        <f>SUM($D$16:D17)</f>
        <v>0</v>
      </c>
      <c r="K17" s="46">
        <f>SUM($F$16:F17)</f>
        <v>19</v>
      </c>
      <c r="L17" s="46"/>
      <c r="M17" s="47">
        <f t="shared" ref="M17:M35" si="15">J17/$J$35</f>
        <v>0</v>
      </c>
      <c r="N17" s="47"/>
      <c r="O17" s="47">
        <f t="shared" ref="O17:O35" si="16">K17/$K$35</f>
        <v>0.10106382978723404</v>
      </c>
      <c r="P17" s="47">
        <f>(M17-M16)/(O17-O16)</f>
        <v>0</v>
      </c>
      <c r="Q17" s="50">
        <f t="shared" ref="Q17:Q35" si="17">P17*$O$2</f>
        <v>0</v>
      </c>
      <c r="R17" s="58"/>
      <c r="S17" s="58"/>
      <c r="U17" s="87"/>
      <c r="V17" s="22"/>
      <c r="W17" s="51"/>
      <c r="X17" s="52"/>
      <c r="Z17" s="52"/>
      <c r="AA17" s="52"/>
      <c r="AB17" s="52"/>
      <c r="AC17" s="52"/>
      <c r="AM17" s="20">
        <v>0.75</v>
      </c>
    </row>
    <row r="18" spans="1:39" x14ac:dyDescent="0.2">
      <c r="A18" s="35" t="s">
        <v>41</v>
      </c>
      <c r="B18" s="74" t="s">
        <v>42</v>
      </c>
      <c r="C18" s="35"/>
      <c r="D18" s="39">
        <v>0</v>
      </c>
      <c r="E18" s="38">
        <v>10</v>
      </c>
      <c r="F18" s="38">
        <f t="shared" si="11"/>
        <v>10</v>
      </c>
      <c r="G18" s="39">
        <f t="shared" si="12"/>
        <v>0</v>
      </c>
      <c r="H18" s="39">
        <f t="shared" si="13"/>
        <v>0</v>
      </c>
      <c r="I18" s="39">
        <f t="shared" si="14"/>
        <v>6.5789473684210523E-2</v>
      </c>
      <c r="J18" s="46">
        <f>SUM($D$16:D18)</f>
        <v>0</v>
      </c>
      <c r="K18" s="46">
        <f>SUM($F$16:F18)</f>
        <v>29</v>
      </c>
      <c r="L18" s="46"/>
      <c r="M18" s="47">
        <f t="shared" si="15"/>
        <v>0</v>
      </c>
      <c r="N18" s="47"/>
      <c r="O18" s="47">
        <f t="shared" si="16"/>
        <v>0.15425531914893617</v>
      </c>
      <c r="P18" s="47">
        <f t="shared" ref="P18:P35" si="18">(M18-M17)/(O18-O17)</f>
        <v>0</v>
      </c>
      <c r="Q18" s="50">
        <f t="shared" si="17"/>
        <v>0</v>
      </c>
      <c r="R18" s="58"/>
      <c r="S18" s="58"/>
      <c r="U18" s="87"/>
      <c r="V18" s="22"/>
      <c r="W18" s="51"/>
      <c r="X18" s="52"/>
      <c r="Z18" s="52"/>
      <c r="AA18" s="52"/>
      <c r="AB18" s="52"/>
      <c r="AC18" s="52"/>
      <c r="AM18" s="20">
        <v>0.55555555555555558</v>
      </c>
    </row>
    <row r="19" spans="1:39" x14ac:dyDescent="0.2">
      <c r="A19" s="35" t="s">
        <v>43</v>
      </c>
      <c r="B19" s="74" t="s">
        <v>44</v>
      </c>
      <c r="C19" s="35"/>
      <c r="D19" s="39">
        <v>1</v>
      </c>
      <c r="E19" s="38">
        <v>8</v>
      </c>
      <c r="F19" s="38">
        <f t="shared" si="11"/>
        <v>9</v>
      </c>
      <c r="G19" s="39">
        <f t="shared" si="12"/>
        <v>0.1111111111111111</v>
      </c>
      <c r="H19" s="39">
        <f t="shared" si="13"/>
        <v>2.7777777777777776E-2</v>
      </c>
      <c r="I19" s="39">
        <f t="shared" si="14"/>
        <v>5.2631578947368418E-2</v>
      </c>
      <c r="J19" s="46">
        <f>SUM($D$16:D19)</f>
        <v>1</v>
      </c>
      <c r="K19" s="46">
        <f>SUM($F$16:F19)</f>
        <v>38</v>
      </c>
      <c r="L19" s="46"/>
      <c r="M19" s="47">
        <f t="shared" si="15"/>
        <v>2.7777777777777776E-2</v>
      </c>
      <c r="N19" s="47"/>
      <c r="O19" s="47">
        <f t="shared" si="16"/>
        <v>0.20212765957446807</v>
      </c>
      <c r="P19" s="47">
        <f t="shared" si="18"/>
        <v>0.58024691358024705</v>
      </c>
      <c r="Q19" s="50">
        <f t="shared" si="17"/>
        <v>1.6271290413310158E-2</v>
      </c>
      <c r="R19" s="58"/>
      <c r="S19" s="58"/>
      <c r="U19" s="87"/>
      <c r="V19" s="22"/>
      <c r="W19" s="51"/>
      <c r="X19" s="52"/>
      <c r="Z19" s="52"/>
      <c r="AA19" s="52"/>
      <c r="AB19" s="52"/>
      <c r="AC19" s="52"/>
      <c r="AM19" s="20">
        <v>0.30555555555555558</v>
      </c>
    </row>
    <row r="20" spans="1:39" x14ac:dyDescent="0.2">
      <c r="A20" s="35" t="s">
        <v>45</v>
      </c>
      <c r="B20" s="74" t="s">
        <v>46</v>
      </c>
      <c r="C20" s="35"/>
      <c r="D20" s="39">
        <v>1</v>
      </c>
      <c r="E20" s="38">
        <v>8</v>
      </c>
      <c r="F20" s="38">
        <f t="shared" si="11"/>
        <v>9</v>
      </c>
      <c r="G20" s="39">
        <f t="shared" si="12"/>
        <v>0.1111111111111111</v>
      </c>
      <c r="H20" s="39">
        <f t="shared" si="13"/>
        <v>2.7777777777777776E-2</v>
      </c>
      <c r="I20" s="39">
        <f t="shared" si="14"/>
        <v>5.2631578947368418E-2</v>
      </c>
      <c r="J20" s="46">
        <f>SUM($D$16:D20)</f>
        <v>2</v>
      </c>
      <c r="K20" s="46">
        <f>SUM($F$16:F20)</f>
        <v>47</v>
      </c>
      <c r="L20" s="46"/>
      <c r="M20" s="47">
        <f t="shared" si="15"/>
        <v>5.5555555555555552E-2</v>
      </c>
      <c r="N20" s="47"/>
      <c r="O20" s="47">
        <f t="shared" si="16"/>
        <v>0.25</v>
      </c>
      <c r="P20" s="47">
        <f t="shared" si="18"/>
        <v>0.58024691358024671</v>
      </c>
      <c r="Q20" s="50">
        <f t="shared" si="17"/>
        <v>1.6271290413310147E-2</v>
      </c>
      <c r="R20" s="58"/>
      <c r="S20" s="58"/>
      <c r="U20" s="87"/>
      <c r="V20" s="22"/>
      <c r="W20" s="51"/>
      <c r="X20" s="52"/>
      <c r="Z20" s="52"/>
      <c r="AA20" s="52"/>
      <c r="AB20" s="52"/>
      <c r="AC20" s="52"/>
      <c r="AM20" s="20">
        <v>0.16666666666666666</v>
      </c>
    </row>
    <row r="21" spans="1:39" x14ac:dyDescent="0.2">
      <c r="A21" s="35" t="s">
        <v>47</v>
      </c>
      <c r="B21" s="74" t="s">
        <v>48</v>
      </c>
      <c r="C21" s="35"/>
      <c r="D21" s="39">
        <v>0</v>
      </c>
      <c r="E21" s="38">
        <v>10</v>
      </c>
      <c r="F21" s="38">
        <f t="shared" si="11"/>
        <v>10</v>
      </c>
      <c r="G21" s="39">
        <f t="shared" si="12"/>
        <v>0</v>
      </c>
      <c r="H21" s="39">
        <f t="shared" si="13"/>
        <v>0</v>
      </c>
      <c r="I21" s="39">
        <f t="shared" si="14"/>
        <v>6.5789473684210523E-2</v>
      </c>
      <c r="J21" s="46">
        <f>SUM($D$16:D21)</f>
        <v>2</v>
      </c>
      <c r="K21" s="46">
        <f>SUM($F$16:F21)</f>
        <v>57</v>
      </c>
      <c r="L21" s="46"/>
      <c r="M21" s="47">
        <f t="shared" si="15"/>
        <v>5.5555555555555552E-2</v>
      </c>
      <c r="N21" s="47"/>
      <c r="O21" s="47">
        <f t="shared" si="16"/>
        <v>0.30319148936170215</v>
      </c>
      <c r="P21" s="47">
        <f t="shared" si="18"/>
        <v>0</v>
      </c>
      <c r="Q21" s="50">
        <f t="shared" si="17"/>
        <v>0</v>
      </c>
      <c r="R21" s="58"/>
      <c r="S21" s="58"/>
      <c r="U21" s="87"/>
      <c r="V21" s="22"/>
      <c r="W21" s="51"/>
      <c r="X21" s="52"/>
      <c r="Z21" s="52"/>
      <c r="AA21" s="52"/>
      <c r="AB21" s="52"/>
      <c r="AC21" s="52"/>
      <c r="AM21" s="20">
        <v>5.5555555555555552E-2</v>
      </c>
    </row>
    <row r="22" spans="1:39" x14ac:dyDescent="0.2">
      <c r="A22" s="35" t="s">
        <v>49</v>
      </c>
      <c r="B22" s="74" t="s">
        <v>50</v>
      </c>
      <c r="C22" s="35"/>
      <c r="D22" s="39">
        <v>0</v>
      </c>
      <c r="E22" s="38">
        <v>9</v>
      </c>
      <c r="F22" s="38">
        <f t="shared" si="11"/>
        <v>9</v>
      </c>
      <c r="G22" s="39">
        <f t="shared" si="12"/>
        <v>0</v>
      </c>
      <c r="H22" s="39">
        <f t="shared" si="13"/>
        <v>0</v>
      </c>
      <c r="I22" s="39">
        <f t="shared" si="14"/>
        <v>5.921052631578947E-2</v>
      </c>
      <c r="J22" s="46">
        <f>SUM($D$16:D22)</f>
        <v>2</v>
      </c>
      <c r="K22" s="46">
        <f>SUM($F$16:F22)</f>
        <v>66</v>
      </c>
      <c r="L22" s="46"/>
      <c r="M22" s="47">
        <f t="shared" si="15"/>
        <v>5.5555555555555552E-2</v>
      </c>
      <c r="N22" s="47"/>
      <c r="O22" s="47">
        <f t="shared" si="16"/>
        <v>0.35106382978723405</v>
      </c>
      <c r="P22" s="47">
        <f t="shared" si="18"/>
        <v>0</v>
      </c>
      <c r="Q22" s="50">
        <f t="shared" si="17"/>
        <v>0</v>
      </c>
      <c r="R22" s="58"/>
      <c r="S22" s="58"/>
      <c r="U22" s="87"/>
      <c r="W22" s="51"/>
      <c r="X22" s="52"/>
      <c r="Z22" s="52"/>
      <c r="AA22" s="52"/>
      <c r="AB22" s="52"/>
      <c r="AC22" s="52"/>
      <c r="AM22" s="20">
        <v>0</v>
      </c>
    </row>
    <row r="23" spans="1:39" x14ac:dyDescent="0.2">
      <c r="A23" s="35" t="s">
        <v>51</v>
      </c>
      <c r="B23" s="74" t="s">
        <v>52</v>
      </c>
      <c r="C23" s="35"/>
      <c r="D23" s="39">
        <v>1</v>
      </c>
      <c r="E23" s="38">
        <v>9</v>
      </c>
      <c r="F23" s="38">
        <f>E23+D23</f>
        <v>10</v>
      </c>
      <c r="G23" s="39">
        <f t="shared" si="12"/>
        <v>0.1</v>
      </c>
      <c r="H23" s="39">
        <f t="shared" si="13"/>
        <v>2.7777777777777776E-2</v>
      </c>
      <c r="I23" s="39">
        <f t="shared" si="14"/>
        <v>5.921052631578947E-2</v>
      </c>
      <c r="J23" s="46">
        <f>SUM($D$16:D23)</f>
        <v>3</v>
      </c>
      <c r="K23" s="46">
        <f>SUM($F$16:F23)</f>
        <v>76</v>
      </c>
      <c r="L23" s="46"/>
      <c r="M23" s="47">
        <f t="shared" si="15"/>
        <v>8.3333333333333329E-2</v>
      </c>
      <c r="N23" s="47"/>
      <c r="O23" s="47">
        <f t="shared" si="16"/>
        <v>0.40425531914893614</v>
      </c>
      <c r="P23" s="47">
        <f t="shared" si="18"/>
        <v>0.52222222222222248</v>
      </c>
      <c r="Q23" s="50">
        <f t="shared" si="17"/>
        <v>1.4644161371979146E-2</v>
      </c>
      <c r="R23" s="58"/>
      <c r="S23" s="58"/>
      <c r="W23" s="51"/>
      <c r="X23" s="52"/>
    </row>
    <row r="24" spans="1:39" x14ac:dyDescent="0.2">
      <c r="A24" s="35" t="s">
        <v>53</v>
      </c>
      <c r="B24" s="74" t="s">
        <v>54</v>
      </c>
      <c r="C24" s="35"/>
      <c r="D24" s="39">
        <v>0</v>
      </c>
      <c r="E24" s="38">
        <v>9</v>
      </c>
      <c r="F24" s="38">
        <f t="shared" ref="F24:F35" si="19">D24+E24</f>
        <v>9</v>
      </c>
      <c r="G24" s="39">
        <f t="shared" si="12"/>
        <v>0</v>
      </c>
      <c r="H24" s="39">
        <f t="shared" si="13"/>
        <v>0</v>
      </c>
      <c r="I24" s="39">
        <f t="shared" si="14"/>
        <v>5.921052631578947E-2</v>
      </c>
      <c r="J24" s="46">
        <f>SUM($D$16:D24)</f>
        <v>3</v>
      </c>
      <c r="K24" s="46">
        <f>SUM($F$16:F24)</f>
        <v>85</v>
      </c>
      <c r="L24" s="46"/>
      <c r="M24" s="47">
        <f t="shared" si="15"/>
        <v>8.3333333333333329E-2</v>
      </c>
      <c r="N24" s="47"/>
      <c r="O24" s="47">
        <f t="shared" si="16"/>
        <v>0.4521276595744681</v>
      </c>
      <c r="P24" s="47">
        <f t="shared" si="18"/>
        <v>0</v>
      </c>
      <c r="Q24" s="50">
        <f t="shared" si="17"/>
        <v>0</v>
      </c>
      <c r="R24" s="58"/>
      <c r="S24" s="58"/>
      <c r="W24" s="51"/>
      <c r="X24" s="52"/>
    </row>
    <row r="25" spans="1:39" x14ac:dyDescent="0.2">
      <c r="A25" s="35" t="s">
        <v>55</v>
      </c>
      <c r="B25" s="74" t="s">
        <v>56</v>
      </c>
      <c r="C25" s="35"/>
      <c r="D25" s="39">
        <v>1</v>
      </c>
      <c r="E25" s="38">
        <v>8</v>
      </c>
      <c r="F25" s="38">
        <f t="shared" si="19"/>
        <v>9</v>
      </c>
      <c r="G25" s="39">
        <f t="shared" si="12"/>
        <v>0.1111111111111111</v>
      </c>
      <c r="H25" s="39">
        <f t="shared" si="13"/>
        <v>2.7777777777777776E-2</v>
      </c>
      <c r="I25" s="39">
        <f t="shared" si="14"/>
        <v>5.2631578947368418E-2</v>
      </c>
      <c r="J25" s="46">
        <f>SUM($D$16:D25)</f>
        <v>4</v>
      </c>
      <c r="K25" s="46">
        <f>SUM($F$16:F25)</f>
        <v>94</v>
      </c>
      <c r="L25" s="46"/>
      <c r="M25" s="47">
        <f t="shared" si="15"/>
        <v>0.1111111111111111</v>
      </c>
      <c r="N25" s="47"/>
      <c r="O25" s="47">
        <f t="shared" si="16"/>
        <v>0.5</v>
      </c>
      <c r="P25" s="47">
        <f t="shared" si="18"/>
        <v>0.58024691358024705</v>
      </c>
      <c r="Q25" s="50">
        <f t="shared" si="17"/>
        <v>1.6271290413310158E-2</v>
      </c>
      <c r="R25" s="58"/>
      <c r="S25" s="58"/>
      <c r="W25" s="51"/>
      <c r="X25" s="52"/>
    </row>
    <row r="26" spans="1:39" x14ac:dyDescent="0.2">
      <c r="A26" s="35" t="s">
        <v>57</v>
      </c>
      <c r="B26" s="74" t="s">
        <v>58</v>
      </c>
      <c r="C26" s="35"/>
      <c r="D26" s="39">
        <v>1</v>
      </c>
      <c r="E26" s="38">
        <v>9</v>
      </c>
      <c r="F26" s="38">
        <f t="shared" si="19"/>
        <v>10</v>
      </c>
      <c r="G26" s="39">
        <f t="shared" si="12"/>
        <v>0.1</v>
      </c>
      <c r="H26" s="39">
        <f t="shared" si="13"/>
        <v>2.7777777777777776E-2</v>
      </c>
      <c r="I26" s="39">
        <f t="shared" si="14"/>
        <v>5.921052631578947E-2</v>
      </c>
      <c r="J26" s="46">
        <f>SUM($D$16:D26)</f>
        <v>5</v>
      </c>
      <c r="K26" s="46">
        <f>SUM($F$16:F26)</f>
        <v>104</v>
      </c>
      <c r="L26" s="46"/>
      <c r="M26" s="47">
        <f t="shared" si="15"/>
        <v>0.1388888888888889</v>
      </c>
      <c r="N26" s="47"/>
      <c r="O26" s="47">
        <f t="shared" si="16"/>
        <v>0.55319148936170215</v>
      </c>
      <c r="P26" s="47">
        <f t="shared" si="18"/>
        <v>0.52222222222222225</v>
      </c>
      <c r="Q26" s="50">
        <f t="shared" si="17"/>
        <v>1.4644161371979139E-2</v>
      </c>
      <c r="R26" s="58"/>
      <c r="S26" s="58"/>
      <c r="W26" s="51"/>
      <c r="X26" s="52"/>
    </row>
    <row r="27" spans="1:39" x14ac:dyDescent="0.2">
      <c r="A27" s="35" t="s">
        <v>59</v>
      </c>
      <c r="B27" s="74" t="s">
        <v>60</v>
      </c>
      <c r="C27" s="35"/>
      <c r="D27" s="39">
        <v>1</v>
      </c>
      <c r="E27" s="38">
        <v>7</v>
      </c>
      <c r="F27" s="38">
        <f t="shared" si="19"/>
        <v>8</v>
      </c>
      <c r="G27" s="39">
        <f t="shared" si="12"/>
        <v>0.125</v>
      </c>
      <c r="H27" s="39">
        <f t="shared" si="13"/>
        <v>2.7777777777777776E-2</v>
      </c>
      <c r="I27" s="39">
        <f t="shared" si="14"/>
        <v>4.6052631578947366E-2</v>
      </c>
      <c r="J27" s="46">
        <f>SUM($D$16:D27)</f>
        <v>6</v>
      </c>
      <c r="K27" s="46">
        <f>SUM($F$16:F27)</f>
        <v>112</v>
      </c>
      <c r="L27" s="46"/>
      <c r="M27" s="47">
        <f t="shared" si="15"/>
        <v>0.16666666666666666</v>
      </c>
      <c r="N27" s="47"/>
      <c r="O27" s="47">
        <f t="shared" si="16"/>
        <v>0.5957446808510638</v>
      </c>
      <c r="P27" s="47">
        <f t="shared" si="18"/>
        <v>0.65277777777777812</v>
      </c>
      <c r="Q27" s="50">
        <f t="shared" si="17"/>
        <v>1.8305201714973934E-2</v>
      </c>
      <c r="R27" s="58"/>
      <c r="S27" s="58"/>
      <c r="W27" s="51"/>
      <c r="X27" s="52"/>
    </row>
    <row r="28" spans="1:39" x14ac:dyDescent="0.2">
      <c r="A28" s="35" t="s">
        <v>61</v>
      </c>
      <c r="B28" s="74" t="s">
        <v>62</v>
      </c>
      <c r="C28" s="35"/>
      <c r="D28" s="39">
        <v>2</v>
      </c>
      <c r="E28" s="38">
        <v>8</v>
      </c>
      <c r="F28" s="38">
        <f t="shared" si="19"/>
        <v>10</v>
      </c>
      <c r="G28" s="39">
        <f t="shared" si="12"/>
        <v>0.2</v>
      </c>
      <c r="H28" s="39">
        <f t="shared" si="13"/>
        <v>5.5555555555555552E-2</v>
      </c>
      <c r="I28" s="39">
        <f t="shared" si="14"/>
        <v>5.2631578947368418E-2</v>
      </c>
      <c r="J28" s="46">
        <f>SUM($D$16:D28)</f>
        <v>8</v>
      </c>
      <c r="K28" s="46">
        <f>SUM($F$16:F28)</f>
        <v>122</v>
      </c>
      <c r="L28" s="46"/>
      <c r="M28" s="47">
        <f t="shared" si="15"/>
        <v>0.22222222222222221</v>
      </c>
      <c r="N28" s="47"/>
      <c r="O28" s="47">
        <f t="shared" si="16"/>
        <v>0.64893617021276595</v>
      </c>
      <c r="P28" s="47">
        <f t="shared" si="18"/>
        <v>1.0444444444444441</v>
      </c>
      <c r="Q28" s="50">
        <f t="shared" si="17"/>
        <v>2.9288322743958269E-2</v>
      </c>
      <c r="R28" s="58"/>
      <c r="S28" s="58"/>
    </row>
    <row r="29" spans="1:39" x14ac:dyDescent="0.2">
      <c r="A29" s="35" t="s">
        <v>63</v>
      </c>
      <c r="B29" s="74" t="s">
        <v>64</v>
      </c>
      <c r="C29" s="35"/>
      <c r="D29" s="39">
        <v>2</v>
      </c>
      <c r="E29" s="38">
        <v>8</v>
      </c>
      <c r="F29" s="38">
        <f t="shared" si="19"/>
        <v>10</v>
      </c>
      <c r="G29" s="39">
        <f t="shared" si="12"/>
        <v>0.2</v>
      </c>
      <c r="H29" s="39">
        <f t="shared" si="13"/>
        <v>5.5555555555555552E-2</v>
      </c>
      <c r="I29" s="39">
        <f t="shared" si="14"/>
        <v>5.2631578947368418E-2</v>
      </c>
      <c r="J29" s="46">
        <f>SUM($D$16:D29)</f>
        <v>10</v>
      </c>
      <c r="K29" s="46">
        <f>SUM($F$16:F29)</f>
        <v>132</v>
      </c>
      <c r="L29" s="46"/>
      <c r="M29" s="47">
        <f t="shared" si="15"/>
        <v>0.27777777777777779</v>
      </c>
      <c r="N29" s="47"/>
      <c r="O29" s="47">
        <f t="shared" si="16"/>
        <v>0.7021276595744681</v>
      </c>
      <c r="P29" s="47">
        <f t="shared" si="18"/>
        <v>1.0444444444444445</v>
      </c>
      <c r="Q29" s="50">
        <f t="shared" si="17"/>
        <v>2.9288322743958279E-2</v>
      </c>
      <c r="R29" s="58"/>
      <c r="S29" s="58"/>
    </row>
    <row r="30" spans="1:39" x14ac:dyDescent="0.2">
      <c r="A30" s="35" t="s">
        <v>65</v>
      </c>
      <c r="B30" s="74" t="s">
        <v>66</v>
      </c>
      <c r="C30" s="35"/>
      <c r="D30" s="39">
        <v>1</v>
      </c>
      <c r="E30" s="38">
        <v>8</v>
      </c>
      <c r="F30" s="38">
        <f t="shared" si="19"/>
        <v>9</v>
      </c>
      <c r="G30" s="39">
        <f t="shared" si="12"/>
        <v>0.1111111111111111</v>
      </c>
      <c r="H30" s="39">
        <f t="shared" si="13"/>
        <v>2.7777777777777776E-2</v>
      </c>
      <c r="I30" s="39">
        <f t="shared" si="14"/>
        <v>5.2631578947368418E-2</v>
      </c>
      <c r="J30" s="46">
        <f>SUM($D$16:D30)</f>
        <v>11</v>
      </c>
      <c r="K30" s="46">
        <f>SUM($F$16:F30)</f>
        <v>141</v>
      </c>
      <c r="L30" s="46"/>
      <c r="M30" s="47">
        <f t="shared" si="15"/>
        <v>0.30555555555555558</v>
      </c>
      <c r="N30" s="47"/>
      <c r="O30" s="47">
        <f t="shared" si="16"/>
        <v>0.75</v>
      </c>
      <c r="P30" s="47">
        <f t="shared" si="18"/>
        <v>0.58024691358024738</v>
      </c>
      <c r="Q30" s="50">
        <f t="shared" si="17"/>
        <v>1.6271290413310168E-2</v>
      </c>
      <c r="R30" s="58"/>
      <c r="S30" s="58"/>
    </row>
    <row r="31" spans="1:39" x14ac:dyDescent="0.2">
      <c r="A31" s="35" t="s">
        <v>67</v>
      </c>
      <c r="B31" s="74" t="s">
        <v>68</v>
      </c>
      <c r="C31" s="35"/>
      <c r="D31" s="39">
        <v>3</v>
      </c>
      <c r="E31" s="38">
        <v>7</v>
      </c>
      <c r="F31" s="38">
        <f t="shared" si="19"/>
        <v>10</v>
      </c>
      <c r="G31" s="39">
        <f t="shared" si="12"/>
        <v>0.3</v>
      </c>
      <c r="H31" s="39">
        <f t="shared" si="13"/>
        <v>8.3333333333333329E-2</v>
      </c>
      <c r="I31" s="39">
        <f t="shared" si="14"/>
        <v>4.6052631578947366E-2</v>
      </c>
      <c r="J31" s="46">
        <f>SUM($D$16:D31)</f>
        <v>14</v>
      </c>
      <c r="K31" s="46">
        <f>SUM($F$16:F31)</f>
        <v>151</v>
      </c>
      <c r="L31" s="46"/>
      <c r="M31" s="47">
        <f t="shared" si="15"/>
        <v>0.3888888888888889</v>
      </c>
      <c r="N31" s="47"/>
      <c r="O31" s="47">
        <f t="shared" si="16"/>
        <v>0.80319148936170215</v>
      </c>
      <c r="P31" s="47">
        <f t="shared" si="18"/>
        <v>1.5666666666666658</v>
      </c>
      <c r="Q31" s="50">
        <f t="shared" si="17"/>
        <v>4.3932484115937392E-2</v>
      </c>
      <c r="R31" s="58"/>
      <c r="S31" s="58"/>
    </row>
    <row r="32" spans="1:39" x14ac:dyDescent="0.2">
      <c r="A32" s="35" t="s">
        <v>69</v>
      </c>
      <c r="B32" s="74" t="s">
        <v>70</v>
      </c>
      <c r="C32" s="35"/>
      <c r="D32" s="39">
        <v>3</v>
      </c>
      <c r="E32" s="38">
        <v>5</v>
      </c>
      <c r="F32" s="38">
        <f t="shared" si="19"/>
        <v>8</v>
      </c>
      <c r="G32" s="39">
        <f t="shared" si="12"/>
        <v>0.375</v>
      </c>
      <c r="H32" s="39">
        <f t="shared" si="13"/>
        <v>8.3333333333333329E-2</v>
      </c>
      <c r="I32" s="39">
        <f t="shared" si="14"/>
        <v>3.2894736842105261E-2</v>
      </c>
      <c r="J32" s="46">
        <f>SUM($D$16:D32)</f>
        <v>17</v>
      </c>
      <c r="K32" s="46">
        <f>SUM($F$16:F32)</f>
        <v>159</v>
      </c>
      <c r="L32" s="46"/>
      <c r="M32" s="47">
        <f t="shared" si="15"/>
        <v>0.47222222222222221</v>
      </c>
      <c r="N32" s="47"/>
      <c r="O32" s="47">
        <f t="shared" si="16"/>
        <v>0.8457446808510638</v>
      </c>
      <c r="P32" s="47">
        <f t="shared" si="18"/>
        <v>1.9583333333333353</v>
      </c>
      <c r="Q32" s="50">
        <f t="shared" si="17"/>
        <v>5.4915605144921824E-2</v>
      </c>
      <c r="R32" s="58"/>
      <c r="S32" s="58"/>
    </row>
    <row r="33" spans="1:19" x14ac:dyDescent="0.2">
      <c r="A33" s="35" t="s">
        <v>71</v>
      </c>
      <c r="B33" s="74" t="s">
        <v>72</v>
      </c>
      <c r="C33" s="35"/>
      <c r="D33" s="39">
        <v>3</v>
      </c>
      <c r="E33" s="38">
        <v>7</v>
      </c>
      <c r="F33" s="38">
        <f t="shared" si="19"/>
        <v>10</v>
      </c>
      <c r="G33" s="39">
        <f t="shared" si="12"/>
        <v>0.3</v>
      </c>
      <c r="H33" s="39">
        <f t="shared" si="13"/>
        <v>8.3333333333333329E-2</v>
      </c>
      <c r="I33" s="39">
        <f t="shared" si="14"/>
        <v>4.6052631578947366E-2</v>
      </c>
      <c r="J33" s="46">
        <f>SUM($D$16:D33)</f>
        <v>20</v>
      </c>
      <c r="K33" s="46">
        <f>SUM($F$16:F33)</f>
        <v>169</v>
      </c>
      <c r="L33" s="46"/>
      <c r="M33" s="47">
        <f t="shared" si="15"/>
        <v>0.55555555555555558</v>
      </c>
      <c r="N33" s="47"/>
      <c r="O33" s="47">
        <f t="shared" si="16"/>
        <v>0.89893617021276595</v>
      </c>
      <c r="P33" s="47">
        <f t="shared" si="18"/>
        <v>1.5666666666666667</v>
      </c>
      <c r="Q33" s="50">
        <f t="shared" si="17"/>
        <v>4.3932484115937413E-2</v>
      </c>
      <c r="R33" s="58"/>
      <c r="S33" s="58"/>
    </row>
    <row r="34" spans="1:19" x14ac:dyDescent="0.2">
      <c r="A34" s="35" t="s">
        <v>73</v>
      </c>
      <c r="B34" s="74" t="s">
        <v>30</v>
      </c>
      <c r="C34" s="35"/>
      <c r="D34" s="39">
        <v>7</v>
      </c>
      <c r="E34" s="38">
        <v>3</v>
      </c>
      <c r="F34" s="38">
        <f t="shared" si="19"/>
        <v>10</v>
      </c>
      <c r="G34" s="39">
        <f t="shared" si="12"/>
        <v>0.7</v>
      </c>
      <c r="H34" s="39">
        <f t="shared" si="13"/>
        <v>0.19444444444444445</v>
      </c>
      <c r="I34" s="39">
        <f t="shared" si="14"/>
        <v>1.9736842105263157E-2</v>
      </c>
      <c r="J34" s="46">
        <f>SUM($D$16:D34)</f>
        <v>27</v>
      </c>
      <c r="K34" s="46">
        <f>SUM($F$16:F34)</f>
        <v>179</v>
      </c>
      <c r="L34" s="46"/>
      <c r="M34" s="47">
        <f t="shared" si="15"/>
        <v>0.75</v>
      </c>
      <c r="N34" s="47"/>
      <c r="O34" s="47">
        <f t="shared" si="16"/>
        <v>0.9521276595744681</v>
      </c>
      <c r="P34" s="47">
        <f t="shared" si="18"/>
        <v>3.6555555555555537</v>
      </c>
      <c r="Q34" s="50">
        <f t="shared" si="17"/>
        <v>0.10250912960385392</v>
      </c>
      <c r="R34" s="58"/>
      <c r="S34" s="58"/>
    </row>
    <row r="35" spans="1:19" x14ac:dyDescent="0.2">
      <c r="A35" s="35" t="s">
        <v>74</v>
      </c>
      <c r="B35" s="74" t="s">
        <v>32</v>
      </c>
      <c r="C35" s="35"/>
      <c r="D35" s="39">
        <v>9</v>
      </c>
      <c r="E35" s="38">
        <v>0</v>
      </c>
      <c r="F35" s="38">
        <f t="shared" si="19"/>
        <v>9</v>
      </c>
      <c r="G35" s="39">
        <f t="shared" si="12"/>
        <v>1</v>
      </c>
      <c r="H35" s="39">
        <f t="shared" si="13"/>
        <v>0.25</v>
      </c>
      <c r="I35" s="39">
        <f t="shared" si="14"/>
        <v>0</v>
      </c>
      <c r="J35" s="46">
        <f>SUM($D$16:D35)</f>
        <v>36</v>
      </c>
      <c r="K35" s="46">
        <f>SUM($F$16:F35)</f>
        <v>188</v>
      </c>
      <c r="L35" s="46"/>
      <c r="M35" s="47">
        <f t="shared" si="15"/>
        <v>1</v>
      </c>
      <c r="N35" s="47"/>
      <c r="O35" s="47">
        <f t="shared" si="16"/>
        <v>1</v>
      </c>
      <c r="P35" s="47">
        <f t="shared" si="18"/>
        <v>5.2222222222222241</v>
      </c>
      <c r="Q35" s="50">
        <f t="shared" si="17"/>
        <v>0.14644161371979145</v>
      </c>
      <c r="R35" s="58"/>
      <c r="S35" s="58"/>
    </row>
    <row r="38" spans="1:19" x14ac:dyDescent="0.2">
      <c r="A38" s="77" t="s">
        <v>181</v>
      </c>
    </row>
    <row r="40" spans="1:19" x14ac:dyDescent="0.2">
      <c r="B40" s="55" t="s">
        <v>168</v>
      </c>
      <c r="C40" s="20" t="s">
        <v>169</v>
      </c>
    </row>
    <row r="41" spans="1:19" x14ac:dyDescent="0.2">
      <c r="A41" s="20" t="s">
        <v>170</v>
      </c>
      <c r="B41" s="93">
        <v>188</v>
      </c>
      <c r="C41" s="20">
        <v>471</v>
      </c>
      <c r="F41" s="63"/>
    </row>
    <row r="42" spans="1:19" x14ac:dyDescent="0.2">
      <c r="A42" s="20" t="s">
        <v>33</v>
      </c>
      <c r="B42" s="93">
        <v>36</v>
      </c>
      <c r="C42" s="20">
        <v>11</v>
      </c>
    </row>
    <row r="43" spans="1:19" x14ac:dyDescent="0.2">
      <c r="A43" s="20" t="s">
        <v>171</v>
      </c>
      <c r="B43" s="23">
        <f>B42/B41</f>
        <v>0.19148936170212766</v>
      </c>
      <c r="C43" s="62">
        <f>C42/C41</f>
        <v>2.3354564755838639E-2</v>
      </c>
    </row>
    <row r="44" spans="1:19" x14ac:dyDescent="0.2">
      <c r="A44" s="64" t="s">
        <v>190</v>
      </c>
      <c r="B44" s="55">
        <f>1-B43</f>
        <v>0.8085106382978724</v>
      </c>
      <c r="C44" s="65">
        <f>1-C43</f>
        <v>0.97664543524416136</v>
      </c>
    </row>
    <row r="45" spans="1:19" x14ac:dyDescent="0.2">
      <c r="A45" s="20" t="s">
        <v>172</v>
      </c>
      <c r="B45" s="23">
        <f>C44*B43/(C43*B44)</f>
        <v>9.9043062200956928</v>
      </c>
    </row>
    <row r="47" spans="1:19" x14ac:dyDescent="0.2">
      <c r="A47" s="20" t="s">
        <v>35</v>
      </c>
      <c r="B47" s="55" t="s">
        <v>173</v>
      </c>
      <c r="C47" s="20" t="s">
        <v>174</v>
      </c>
    </row>
    <row r="48" spans="1:19" x14ac:dyDescent="0.2">
      <c r="A48" s="20" t="s">
        <v>21</v>
      </c>
      <c r="B48" s="55">
        <v>0</v>
      </c>
      <c r="C48" s="20">
        <v>1.787E-2</v>
      </c>
    </row>
    <row r="49" spans="1:12" x14ac:dyDescent="0.2">
      <c r="A49" s="20" t="s">
        <v>22</v>
      </c>
      <c r="B49" s="55">
        <v>1.788E-2</v>
      </c>
      <c r="C49" s="20">
        <v>4.4760000000000001E-2</v>
      </c>
    </row>
    <row r="50" spans="1:12" x14ac:dyDescent="0.2">
      <c r="A50" s="20" t="s">
        <v>24</v>
      </c>
      <c r="B50" s="55">
        <v>4.4769999999999997E-2</v>
      </c>
      <c r="C50" s="20">
        <v>0.13603999999999999</v>
      </c>
    </row>
    <row r="51" spans="1:12" x14ac:dyDescent="0.2">
      <c r="A51" s="20" t="s">
        <v>26</v>
      </c>
      <c r="B51" s="55">
        <v>0.13605</v>
      </c>
      <c r="C51" s="20">
        <v>0.24908</v>
      </c>
    </row>
    <row r="52" spans="1:12" x14ac:dyDescent="0.2">
      <c r="A52" s="20" t="s">
        <v>28</v>
      </c>
      <c r="B52" s="55">
        <v>0.24909000000000001</v>
      </c>
      <c r="C52" s="20">
        <v>0.59036</v>
      </c>
    </row>
    <row r="53" spans="1:12" x14ac:dyDescent="0.2">
      <c r="A53" s="20" t="s">
        <v>29</v>
      </c>
      <c r="B53" s="55">
        <v>0.59036999999999995</v>
      </c>
      <c r="C53" s="20">
        <v>0.78815999999999997</v>
      </c>
    </row>
    <row r="54" spans="1:12" x14ac:dyDescent="0.2">
      <c r="A54" s="20" t="s">
        <v>31</v>
      </c>
      <c r="B54" s="55">
        <v>0.78817000000000004</v>
      </c>
      <c r="C54" s="20">
        <v>1</v>
      </c>
    </row>
    <row r="61" spans="1:12" ht="15" x14ac:dyDescent="0.25">
      <c r="A61" s="66" t="s">
        <v>161</v>
      </c>
      <c r="B61" s="76" t="s">
        <v>162</v>
      </c>
      <c r="C61" s="67" t="s">
        <v>176</v>
      </c>
      <c r="D61" s="71" t="s">
        <v>177</v>
      </c>
      <c r="E61" s="21" t="s">
        <v>35</v>
      </c>
      <c r="I61" s="21">
        <v>0</v>
      </c>
      <c r="J61" s="20">
        <v>2.52E-2</v>
      </c>
      <c r="K61" s="21" t="s">
        <v>21</v>
      </c>
      <c r="L61" s="21"/>
    </row>
    <row r="62" spans="1:12" x14ac:dyDescent="0.2">
      <c r="A62" s="20">
        <v>1314</v>
      </c>
      <c r="B62" s="55">
        <v>1.193E-2</v>
      </c>
      <c r="C62" s="20">
        <f>LN((1-B62)/B62)</f>
        <v>4.4166973093307149</v>
      </c>
      <c r="D62" s="71">
        <f>1/(1+$B$45*EXP(C62))</f>
        <v>1.2175857536982882E-3</v>
      </c>
      <c r="E62" s="21" t="str">
        <f>VLOOKUP(B62,$I$61:$K$67,3,TRUE)</f>
        <v>G1</v>
      </c>
      <c r="I62" s="21">
        <v>4.4769999999999997E-2</v>
      </c>
      <c r="J62" s="20">
        <v>5.1520000000000003E-2</v>
      </c>
      <c r="K62" s="21" t="s">
        <v>22</v>
      </c>
      <c r="L62" s="21"/>
    </row>
    <row r="63" spans="1:12" x14ac:dyDescent="0.2">
      <c r="A63" s="20">
        <v>30104</v>
      </c>
      <c r="B63" s="55">
        <v>3.4959999999999998E-2</v>
      </c>
      <c r="C63" s="20">
        <f t="shared" ref="C63:C126" si="20">LN((1-B63)/B63)</f>
        <v>3.3179650004697936</v>
      </c>
      <c r="D63" s="71">
        <f t="shared" ref="D63:D126" si="21">1/(1+$B$45*EXP(C63))</f>
        <v>3.6443195511182123E-3</v>
      </c>
      <c r="E63" s="21" t="str">
        <f>VLOOKUP(B63,$I$61:$K$67,3,TRUE)</f>
        <v>G1</v>
      </c>
      <c r="I63" s="21">
        <v>0.11164</v>
      </c>
      <c r="J63" s="20">
        <v>0.13603999999999999</v>
      </c>
      <c r="K63" s="21" t="s">
        <v>24</v>
      </c>
      <c r="L63" s="21"/>
    </row>
    <row r="64" spans="1:12" x14ac:dyDescent="0.2">
      <c r="A64" s="20">
        <v>42204</v>
      </c>
      <c r="B64" s="55">
        <v>0.51068000000000002</v>
      </c>
      <c r="C64" s="20">
        <f t="shared" si="20"/>
        <v>-4.2726498773434499E-2</v>
      </c>
      <c r="D64" s="71">
        <f t="shared" si="21"/>
        <v>9.5328494592097732E-2</v>
      </c>
      <c r="E64" s="21" t="str">
        <f t="shared" ref="E64:E126" si="22">VLOOKUP(B64,$I$61:$K$67,3,TRUE)</f>
        <v>G5</v>
      </c>
      <c r="I64" s="21">
        <v>0.20582</v>
      </c>
      <c r="J64" s="20">
        <v>0.24908</v>
      </c>
      <c r="K64" s="21" t="s">
        <v>26</v>
      </c>
      <c r="L64" s="21"/>
    </row>
    <row r="65" spans="1:199" x14ac:dyDescent="0.2">
      <c r="A65" s="20">
        <v>69196</v>
      </c>
      <c r="B65" s="55">
        <v>5.2839999999999998E-2</v>
      </c>
      <c r="C65" s="20">
        <f t="shared" si="20"/>
        <v>2.8861995538541869</v>
      </c>
      <c r="D65" s="71">
        <f t="shared" si="21"/>
        <v>5.6011347486882093E-3</v>
      </c>
      <c r="E65" s="21" t="str">
        <f t="shared" si="22"/>
        <v>G2</v>
      </c>
      <c r="I65" s="21">
        <v>0.36186000000000001</v>
      </c>
      <c r="J65" s="20">
        <v>0.59036</v>
      </c>
      <c r="K65" s="21" t="s">
        <v>28</v>
      </c>
      <c r="L65" s="21"/>
    </row>
    <row r="66" spans="1:199" x14ac:dyDescent="0.2">
      <c r="A66" s="20">
        <v>82106</v>
      </c>
      <c r="B66" s="55">
        <v>5.416E-2</v>
      </c>
      <c r="C66" s="20">
        <f t="shared" si="20"/>
        <v>2.8601307929508382</v>
      </c>
      <c r="D66" s="71">
        <f t="shared" si="21"/>
        <v>5.74821888821672E-3</v>
      </c>
      <c r="E66" s="21" t="str">
        <f t="shared" si="22"/>
        <v>G2</v>
      </c>
      <c r="I66" s="21">
        <v>0.59036999999999995</v>
      </c>
      <c r="J66" s="20">
        <v>0.78815999999999997</v>
      </c>
      <c r="K66" s="21" t="s">
        <v>29</v>
      </c>
      <c r="L66" s="21"/>
    </row>
    <row r="67" spans="1:199" x14ac:dyDescent="0.2">
      <c r="A67" s="20">
        <v>87465</v>
      </c>
      <c r="B67" s="55">
        <v>5.0360000000000002E-2</v>
      </c>
      <c r="C67" s="20">
        <f t="shared" si="20"/>
        <v>2.9368857562313209</v>
      </c>
      <c r="D67" s="71">
        <f t="shared" si="21"/>
        <v>5.3257836880242944E-3</v>
      </c>
      <c r="E67" s="21" t="str">
        <f t="shared" si="22"/>
        <v>G2</v>
      </c>
      <c r="I67" s="21">
        <v>0.78817000000000004</v>
      </c>
      <c r="K67" s="21" t="s">
        <v>31</v>
      </c>
      <c r="L67" s="21"/>
    </row>
    <row r="68" spans="1:199" x14ac:dyDescent="0.2">
      <c r="A68" s="20">
        <v>88927</v>
      </c>
      <c r="B68" s="55">
        <v>4.9509999999999998E-2</v>
      </c>
      <c r="C68" s="20">
        <f t="shared" si="20"/>
        <v>2.9548029717212709</v>
      </c>
      <c r="D68" s="71">
        <f t="shared" si="21"/>
        <v>5.2317050307289156E-3</v>
      </c>
      <c r="E68" s="21" t="str">
        <f t="shared" si="22"/>
        <v>G2</v>
      </c>
    </row>
    <row r="69" spans="1:199" x14ac:dyDescent="0.2">
      <c r="A69" s="20">
        <v>159956</v>
      </c>
      <c r="B69" s="55">
        <v>2.0799999999999999E-2</v>
      </c>
      <c r="C69" s="20">
        <f t="shared" si="20"/>
        <v>3.8517829250507893</v>
      </c>
      <c r="D69" s="71">
        <f t="shared" si="21"/>
        <v>2.1401165918505435E-3</v>
      </c>
      <c r="E69" s="21" t="str">
        <f t="shared" si="22"/>
        <v>G1</v>
      </c>
    </row>
    <row r="70" spans="1:199" x14ac:dyDescent="0.2">
      <c r="A70" s="20">
        <v>266427</v>
      </c>
      <c r="B70" s="55">
        <v>6.6900000000000001E-2</v>
      </c>
      <c r="C70" s="20">
        <f t="shared" si="20"/>
        <v>2.6353134091057937</v>
      </c>
      <c r="D70" s="71">
        <f t="shared" si="21"/>
        <v>7.1868961543081668E-3</v>
      </c>
      <c r="E70" s="21" t="str">
        <f t="shared" si="22"/>
        <v>G2</v>
      </c>
    </row>
    <row r="71" spans="1:199" ht="15" x14ac:dyDescent="0.25">
      <c r="A71" s="20">
        <v>270143</v>
      </c>
      <c r="B71" s="55">
        <v>0.25051000000000001</v>
      </c>
      <c r="C71" s="20">
        <f t="shared" si="20"/>
        <v>1.0958941353376803</v>
      </c>
      <c r="D71" s="71">
        <f t="shared" si="21"/>
        <v>3.2645317960884782E-2</v>
      </c>
      <c r="E71" s="21" t="str">
        <f t="shared" si="22"/>
        <v>G4</v>
      </c>
      <c r="I71" s="78" t="s">
        <v>35</v>
      </c>
      <c r="J71" s="78" t="s">
        <v>178</v>
      </c>
      <c r="K71" s="78" t="s">
        <v>179</v>
      </c>
      <c r="L71" s="78"/>
      <c r="M71" s="78" t="s">
        <v>180</v>
      </c>
      <c r="N71" s="78"/>
      <c r="O71" s="79" t="s">
        <v>175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</row>
    <row r="72" spans="1:199" ht="15" x14ac:dyDescent="0.25">
      <c r="A72" s="20">
        <v>411778</v>
      </c>
      <c r="B72" s="55">
        <v>3.039E-2</v>
      </c>
      <c r="C72" s="20">
        <f t="shared" si="20"/>
        <v>3.4627803218645172</v>
      </c>
      <c r="D72" s="71">
        <f t="shared" si="21"/>
        <v>3.1545497851167186E-3</v>
      </c>
      <c r="E72" s="21" t="str">
        <f t="shared" si="22"/>
        <v>G1</v>
      </c>
      <c r="I72" s="78" t="s">
        <v>21</v>
      </c>
      <c r="J72" s="80">
        <v>2.1648413368200681E-4</v>
      </c>
      <c r="K72" s="80">
        <v>4.6616157397628005E-3</v>
      </c>
      <c r="L72" s="80"/>
      <c r="M72" s="81">
        <f>SQRT(J72*K72)</f>
        <v>1.0045724687552198E-3</v>
      </c>
      <c r="N72" s="81"/>
      <c r="O72" s="81">
        <v>6.3669679157299409E-3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</row>
    <row r="73" spans="1:199" ht="15" x14ac:dyDescent="0.25">
      <c r="A73" s="20">
        <v>420680</v>
      </c>
      <c r="B73" s="55">
        <v>0.13453999999999999</v>
      </c>
      <c r="C73" s="20">
        <f t="shared" si="20"/>
        <v>1.8613996048907284</v>
      </c>
      <c r="D73" s="71">
        <f t="shared" si="21"/>
        <v>1.5453140556638751E-2</v>
      </c>
      <c r="E73" s="21" t="str">
        <f t="shared" si="22"/>
        <v>G3</v>
      </c>
      <c r="I73" s="78" t="s">
        <v>22</v>
      </c>
      <c r="J73" s="80">
        <v>4.7811167329778071E-3</v>
      </c>
      <c r="K73" s="80">
        <v>1.2418488870814429E-2</v>
      </c>
      <c r="L73" s="80"/>
      <c r="M73" s="81">
        <f t="shared" ref="M73:M78" si="23">SQRT(J73*K73)</f>
        <v>7.7054685086988409E-3</v>
      </c>
      <c r="N73" s="81"/>
      <c r="O73" s="81">
        <v>1.1025995048827704E-2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</row>
    <row r="74" spans="1:199" ht="15" x14ac:dyDescent="0.25">
      <c r="A74" s="20">
        <v>447482</v>
      </c>
      <c r="B74" s="55">
        <v>1.031E-2</v>
      </c>
      <c r="C74" s="20">
        <f t="shared" si="20"/>
        <v>4.5642774647507895</v>
      </c>
      <c r="D74" s="71">
        <f t="shared" si="21"/>
        <v>1.0507003346657982E-3</v>
      </c>
      <c r="E74" s="21" t="str">
        <f t="shared" si="22"/>
        <v>G1</v>
      </c>
      <c r="I74" s="78" t="s">
        <v>24</v>
      </c>
      <c r="J74" s="80">
        <v>1.2538152398693977E-2</v>
      </c>
      <c r="K74" s="80">
        <v>2.5262467490587782E-2</v>
      </c>
      <c r="L74" s="80"/>
      <c r="M74" s="81">
        <f t="shared" si="23"/>
        <v>1.7797321915502956E-2</v>
      </c>
      <c r="N74" s="81"/>
      <c r="O74" s="81">
        <v>1.9028974011630454E-2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</row>
    <row r="75" spans="1:199" ht="15" x14ac:dyDescent="0.25">
      <c r="A75" s="20">
        <v>449079</v>
      </c>
      <c r="B75" s="55">
        <v>0.11075</v>
      </c>
      <c r="C75" s="20">
        <f t="shared" si="20"/>
        <v>2.0831030019033192</v>
      </c>
      <c r="D75" s="71">
        <f t="shared" si="21"/>
        <v>1.2418488870814429E-2</v>
      </c>
      <c r="E75" s="21" t="str">
        <f t="shared" si="22"/>
        <v>G2</v>
      </c>
      <c r="I75" s="78" t="s">
        <v>26</v>
      </c>
      <c r="J75" s="80">
        <v>2.5669685900042559E-2</v>
      </c>
      <c r="K75" s="80">
        <v>5.3829655435206118E-2</v>
      </c>
      <c r="L75" s="80"/>
      <c r="M75" s="81">
        <f t="shared" si="23"/>
        <v>3.7172440693735188E-2</v>
      </c>
      <c r="N75" s="81"/>
      <c r="O75" s="81">
        <v>3.2648975989475915E-2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</row>
    <row r="76" spans="1:199" ht="15" x14ac:dyDescent="0.25">
      <c r="A76" s="20">
        <v>471669</v>
      </c>
      <c r="B76" s="55">
        <v>0.67678000000000005</v>
      </c>
      <c r="C76" s="20">
        <f t="shared" si="20"/>
        <v>-0.73901305110745896</v>
      </c>
      <c r="D76" s="71">
        <f t="shared" si="21"/>
        <v>0.1745155490646276</v>
      </c>
      <c r="E76" s="21" t="str">
        <f t="shared" si="22"/>
        <v>G6</v>
      </c>
      <c r="I76" s="78" t="s">
        <v>28</v>
      </c>
      <c r="J76" s="80">
        <v>5.8325152296538799E-2</v>
      </c>
      <c r="K76" s="80">
        <v>0.12424311376156073</v>
      </c>
      <c r="L76" s="80"/>
      <c r="M76" s="81">
        <f t="shared" si="23"/>
        <v>8.5126368018019094E-2</v>
      </c>
      <c r="N76" s="81"/>
      <c r="O76" s="81">
        <v>5.5466300751048324E-2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</row>
    <row r="77" spans="1:199" ht="15" x14ac:dyDescent="0.25">
      <c r="A77" s="20">
        <v>487427</v>
      </c>
      <c r="B77" s="55">
        <v>9.8300000000000002E-3</v>
      </c>
      <c r="C77" s="20">
        <f t="shared" si="20"/>
        <v>4.612437711399572</v>
      </c>
      <c r="D77" s="71">
        <f t="shared" si="21"/>
        <v>1.0013469909926727E-3</v>
      </c>
      <c r="E77" s="21" t="str">
        <f t="shared" si="22"/>
        <v>G1</v>
      </c>
      <c r="I77" s="78" t="s">
        <v>29</v>
      </c>
      <c r="J77" s="80">
        <v>0.13000625958666634</v>
      </c>
      <c r="K77" s="80">
        <v>0.27146029517707526</v>
      </c>
      <c r="L77" s="80"/>
      <c r="M77" s="81">
        <f t="shared" si="23"/>
        <v>0.18786042053147842</v>
      </c>
      <c r="N77" s="81"/>
      <c r="O77" s="81">
        <v>9.2701781237897046E-2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</row>
    <row r="78" spans="1:199" ht="15" x14ac:dyDescent="0.25">
      <c r="A78" s="20">
        <v>492369</v>
      </c>
      <c r="B78" s="55">
        <v>7.5439999999999993E-2</v>
      </c>
      <c r="C78" s="20">
        <f t="shared" si="20"/>
        <v>2.5059803103419842</v>
      </c>
      <c r="D78" s="71">
        <f t="shared" si="21"/>
        <v>8.1710767341248523E-3</v>
      </c>
      <c r="E78" s="21" t="str">
        <f t="shared" si="22"/>
        <v>G2</v>
      </c>
      <c r="I78" s="78" t="s">
        <v>31</v>
      </c>
      <c r="J78" s="80">
        <v>0.27724055922637847</v>
      </c>
      <c r="K78" s="80">
        <v>0.80441939329048107</v>
      </c>
      <c r="L78" s="80"/>
      <c r="M78" s="81">
        <f t="shared" si="23"/>
        <v>0.47224748008686829</v>
      </c>
      <c r="N78" s="81"/>
      <c r="O78" s="81">
        <v>0.1509395079393519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</row>
    <row r="79" spans="1:199" ht="15" x14ac:dyDescent="0.25">
      <c r="A79" s="20">
        <v>554634</v>
      </c>
      <c r="B79" s="55">
        <v>0.34093000000000001</v>
      </c>
      <c r="C79" s="20">
        <f t="shared" si="20"/>
        <v>0.65915257279059059</v>
      </c>
      <c r="D79" s="71">
        <f t="shared" si="21"/>
        <v>4.9636305918025626E-2</v>
      </c>
      <c r="E79" s="21" t="str">
        <f t="shared" si="22"/>
        <v>G4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</row>
    <row r="80" spans="1:199" ht="15" x14ac:dyDescent="0.25">
      <c r="A80" s="20">
        <v>566741</v>
      </c>
      <c r="B80" s="55">
        <v>0.26402999999999999</v>
      </c>
      <c r="C80" s="20">
        <f t="shared" si="20"/>
        <v>1.0251266239747343</v>
      </c>
      <c r="D80" s="71">
        <f t="shared" si="21"/>
        <v>3.4955571921117395E-2</v>
      </c>
      <c r="E80" s="21" t="str">
        <f t="shared" si="22"/>
        <v>G4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</row>
    <row r="81" spans="1:19" ht="15" x14ac:dyDescent="0.25">
      <c r="A81" s="20">
        <v>571416</v>
      </c>
      <c r="B81" s="55">
        <v>0.42238999999999999</v>
      </c>
      <c r="C81" s="20">
        <f t="shared" si="20"/>
        <v>0.31296984257875032</v>
      </c>
      <c r="D81" s="71">
        <f t="shared" si="21"/>
        <v>6.875714255973063E-2</v>
      </c>
      <c r="E81" s="21" t="str">
        <f t="shared" si="22"/>
        <v>G5</v>
      </c>
      <c r="I81"/>
      <c r="J81"/>
      <c r="K81"/>
      <c r="L81"/>
      <c r="M81"/>
      <c r="N81"/>
      <c r="O81"/>
      <c r="P81"/>
      <c r="Q81"/>
      <c r="R81"/>
      <c r="S81"/>
    </row>
    <row r="82" spans="1:19" ht="15" x14ac:dyDescent="0.25">
      <c r="A82" s="20">
        <v>577341</v>
      </c>
      <c r="B82" s="55">
        <v>7.5410000000000005E-2</v>
      </c>
      <c r="C82" s="20">
        <f t="shared" si="20"/>
        <v>2.5064105037933033</v>
      </c>
      <c r="D82" s="71">
        <f t="shared" si="21"/>
        <v>8.1675910504927333E-3</v>
      </c>
      <c r="E82" s="21" t="str">
        <f t="shared" si="22"/>
        <v>G2</v>
      </c>
      <c r="I82"/>
      <c r="J82"/>
      <c r="K82"/>
      <c r="L82"/>
      <c r="M82"/>
      <c r="N82"/>
      <c r="O82"/>
      <c r="P82"/>
      <c r="Q82"/>
      <c r="R82"/>
      <c r="S82"/>
    </row>
    <row r="83" spans="1:19" ht="15" x14ac:dyDescent="0.25">
      <c r="A83" s="20">
        <v>605254</v>
      </c>
      <c r="B83" s="55">
        <v>8.1379999999999994E-2</v>
      </c>
      <c r="C83" s="20">
        <f t="shared" si="20"/>
        <v>2.4237430013432752</v>
      </c>
      <c r="D83" s="71">
        <f t="shared" si="21"/>
        <v>8.8652387820309167E-3</v>
      </c>
      <c r="E83" s="21" t="str">
        <f t="shared" si="22"/>
        <v>G2</v>
      </c>
      <c r="I83"/>
      <c r="J83"/>
      <c r="K83"/>
      <c r="L83"/>
      <c r="M83"/>
      <c r="N83"/>
      <c r="O83"/>
      <c r="P83"/>
      <c r="Q83"/>
      <c r="R83"/>
      <c r="S83"/>
    </row>
    <row r="84" spans="1:19" ht="15" x14ac:dyDescent="0.25">
      <c r="A84" s="20">
        <v>609897</v>
      </c>
      <c r="B84" s="55">
        <v>0.11677</v>
      </c>
      <c r="C84" s="20">
        <f t="shared" si="20"/>
        <v>2.0233794542496328</v>
      </c>
      <c r="D84" s="71">
        <f t="shared" si="21"/>
        <v>1.3172692912535989E-2</v>
      </c>
      <c r="E84" s="21" t="str">
        <f t="shared" si="22"/>
        <v>G3</v>
      </c>
      <c r="I84"/>
      <c r="J84"/>
      <c r="K84"/>
      <c r="L84"/>
      <c r="M84"/>
      <c r="N84"/>
      <c r="O84"/>
      <c r="P84"/>
      <c r="Q84"/>
      <c r="R84"/>
      <c r="S84"/>
    </row>
    <row r="85" spans="1:19" ht="15" x14ac:dyDescent="0.25">
      <c r="A85" s="20">
        <v>639690</v>
      </c>
      <c r="B85" s="55">
        <v>8.566E-2</v>
      </c>
      <c r="C85" s="20">
        <f t="shared" si="20"/>
        <v>2.3678165213425997</v>
      </c>
      <c r="D85" s="71">
        <f t="shared" si="21"/>
        <v>9.3703884912338491E-3</v>
      </c>
      <c r="E85" s="21" t="str">
        <f t="shared" si="22"/>
        <v>G2</v>
      </c>
      <c r="I85"/>
      <c r="J85"/>
      <c r="K85"/>
      <c r="L85"/>
      <c r="M85"/>
      <c r="N85"/>
      <c r="O85"/>
      <c r="P85"/>
      <c r="Q85"/>
      <c r="R85"/>
      <c r="S85"/>
    </row>
    <row r="86" spans="1:19" ht="15" x14ac:dyDescent="0.25">
      <c r="A86" s="20">
        <v>651053</v>
      </c>
      <c r="B86" s="55">
        <v>5.7860000000000002E-2</v>
      </c>
      <c r="C86" s="20">
        <f t="shared" si="20"/>
        <v>2.7901275839430593</v>
      </c>
      <c r="D86" s="71">
        <f t="shared" si="21"/>
        <v>6.1624629761425475E-3</v>
      </c>
      <c r="E86" s="21" t="str">
        <f t="shared" si="22"/>
        <v>G2</v>
      </c>
      <c r="I86"/>
      <c r="J86"/>
      <c r="K86"/>
      <c r="L86"/>
      <c r="M86"/>
      <c r="N86"/>
      <c r="O86"/>
      <c r="P86"/>
      <c r="Q86"/>
      <c r="R86"/>
      <c r="S86"/>
    </row>
    <row r="87" spans="1:19" ht="15" x14ac:dyDescent="0.25">
      <c r="A87" s="20">
        <v>664224</v>
      </c>
      <c r="B87" s="55">
        <v>5.4600000000000003E-2</v>
      </c>
      <c r="C87" s="20">
        <f t="shared" si="20"/>
        <v>2.8515742356082767</v>
      </c>
      <c r="D87" s="71">
        <f t="shared" si="21"/>
        <v>5.7973285164002611E-3</v>
      </c>
      <c r="E87" s="21" t="str">
        <f t="shared" si="22"/>
        <v>G2</v>
      </c>
      <c r="I87"/>
      <c r="J87"/>
      <c r="K87"/>
      <c r="L87"/>
      <c r="M87"/>
      <c r="N87"/>
      <c r="O87"/>
      <c r="P87"/>
      <c r="Q87"/>
      <c r="R87"/>
      <c r="S87"/>
    </row>
    <row r="88" spans="1:19" ht="15" x14ac:dyDescent="0.25">
      <c r="A88" s="20">
        <v>668336</v>
      </c>
      <c r="B88" s="55">
        <v>2.7459999999999998E-2</v>
      </c>
      <c r="C88" s="20">
        <f t="shared" si="20"/>
        <v>3.5671808054123142</v>
      </c>
      <c r="D88" s="71">
        <f t="shared" si="21"/>
        <v>2.8427107329213148E-3</v>
      </c>
      <c r="E88" s="21" t="str">
        <f t="shared" si="22"/>
        <v>G1</v>
      </c>
      <c r="I88"/>
      <c r="J88"/>
      <c r="K88"/>
      <c r="L88"/>
      <c r="M88"/>
      <c r="N88"/>
      <c r="O88"/>
      <c r="P88"/>
      <c r="Q88"/>
      <c r="R88"/>
      <c r="S88"/>
    </row>
    <row r="89" spans="1:19" ht="15" x14ac:dyDescent="0.25">
      <c r="A89" s="20">
        <v>685253</v>
      </c>
      <c r="B89" s="55">
        <v>1.0030000000000001E-2</v>
      </c>
      <c r="C89" s="20">
        <f t="shared" si="20"/>
        <v>4.5920940376653423</v>
      </c>
      <c r="D89" s="71">
        <f t="shared" si="21"/>
        <v>1.0219056605487152E-3</v>
      </c>
      <c r="E89" s="21" t="str">
        <f t="shared" si="22"/>
        <v>G1</v>
      </c>
      <c r="I89"/>
      <c r="J89"/>
      <c r="K89"/>
      <c r="L89"/>
      <c r="M89"/>
      <c r="N89"/>
      <c r="O89"/>
      <c r="P89"/>
      <c r="Q89"/>
      <c r="R89"/>
      <c r="S89"/>
    </row>
    <row r="90" spans="1:19" ht="15" x14ac:dyDescent="0.25">
      <c r="A90" s="20">
        <v>704534</v>
      </c>
      <c r="B90" s="55">
        <v>0.28249999999999997</v>
      </c>
      <c r="C90" s="20">
        <f t="shared" si="20"/>
        <v>0.93209439704728059</v>
      </c>
      <c r="D90" s="71">
        <f t="shared" si="21"/>
        <v>3.8233337164707538E-2</v>
      </c>
      <c r="E90" s="21" t="str">
        <f t="shared" si="22"/>
        <v>G4</v>
      </c>
      <c r="I90"/>
      <c r="J90"/>
      <c r="K90"/>
      <c r="L90"/>
      <c r="M90"/>
      <c r="N90"/>
      <c r="O90"/>
      <c r="P90"/>
      <c r="Q90"/>
      <c r="R90"/>
      <c r="S90"/>
    </row>
    <row r="91" spans="1:19" ht="15" x14ac:dyDescent="0.25">
      <c r="A91" s="20">
        <v>711676</v>
      </c>
      <c r="B91" s="55">
        <v>7.5609999999999997E-2</v>
      </c>
      <c r="C91" s="20">
        <f t="shared" si="20"/>
        <v>2.5035455109437539</v>
      </c>
      <c r="D91" s="71">
        <f t="shared" si="21"/>
        <v>8.190832751983828E-3</v>
      </c>
      <c r="E91" s="21" t="str">
        <f t="shared" si="22"/>
        <v>G2</v>
      </c>
      <c r="I91"/>
      <c r="J91"/>
      <c r="K91"/>
      <c r="L91"/>
      <c r="M91"/>
      <c r="N91"/>
      <c r="O91"/>
      <c r="P91"/>
      <c r="Q91"/>
      <c r="R91"/>
      <c r="S91"/>
    </row>
    <row r="92" spans="1:19" ht="15" x14ac:dyDescent="0.25">
      <c r="A92" s="20">
        <v>728972</v>
      </c>
      <c r="B92" s="55">
        <v>0.18412999999999999</v>
      </c>
      <c r="C92" s="20">
        <f t="shared" si="20"/>
        <v>1.4886129986677086</v>
      </c>
      <c r="D92" s="71">
        <f t="shared" si="21"/>
        <v>2.2278938781077829E-2</v>
      </c>
      <c r="E92" s="21" t="str">
        <f t="shared" si="22"/>
        <v>G3</v>
      </c>
      <c r="I92"/>
      <c r="J92"/>
      <c r="K92"/>
      <c r="L92"/>
      <c r="M92"/>
      <c r="N92"/>
      <c r="O92"/>
      <c r="P92"/>
      <c r="Q92"/>
      <c r="R92"/>
      <c r="S92"/>
    </row>
    <row r="93" spans="1:19" ht="15" x14ac:dyDescent="0.25">
      <c r="A93" s="20">
        <v>729247</v>
      </c>
      <c r="B93" s="55">
        <v>0.11853</v>
      </c>
      <c r="C93" s="20">
        <f t="shared" si="20"/>
        <v>2.0064248752689151</v>
      </c>
      <c r="D93" s="71">
        <f t="shared" si="21"/>
        <v>1.3394917325427443E-2</v>
      </c>
      <c r="E93" s="21" t="str">
        <f t="shared" si="22"/>
        <v>G3</v>
      </c>
      <c r="I93"/>
      <c r="J93"/>
      <c r="K93"/>
      <c r="L93"/>
      <c r="M93"/>
      <c r="N93"/>
      <c r="O93"/>
      <c r="P93"/>
      <c r="Q93"/>
      <c r="R93"/>
      <c r="S93"/>
    </row>
    <row r="94" spans="1:19" ht="15" x14ac:dyDescent="0.25">
      <c r="A94" s="20">
        <v>733816</v>
      </c>
      <c r="B94" s="55">
        <v>2.1219999999999999E-2</v>
      </c>
      <c r="C94" s="20">
        <f t="shared" si="20"/>
        <v>3.8313627649904292</v>
      </c>
      <c r="D94" s="71">
        <f t="shared" si="21"/>
        <v>2.1841709311216356E-3</v>
      </c>
      <c r="E94" s="21" t="str">
        <f t="shared" si="22"/>
        <v>G1</v>
      </c>
      <c r="I94"/>
      <c r="J94"/>
      <c r="K94"/>
      <c r="L94"/>
      <c r="M94"/>
      <c r="N94"/>
      <c r="O94"/>
      <c r="P94"/>
      <c r="Q94"/>
      <c r="R94"/>
      <c r="S94"/>
    </row>
    <row r="95" spans="1:19" ht="15" x14ac:dyDescent="0.25">
      <c r="A95" s="20">
        <v>735315</v>
      </c>
      <c r="B95" s="55">
        <v>7.8990000000000005E-2</v>
      </c>
      <c r="C95" s="20">
        <f t="shared" si="20"/>
        <v>2.4561496317833349</v>
      </c>
      <c r="D95" s="71">
        <f t="shared" si="21"/>
        <v>8.5849783401672139E-3</v>
      </c>
      <c r="E95" s="21" t="str">
        <f t="shared" si="22"/>
        <v>G2</v>
      </c>
      <c r="I95"/>
      <c r="J95"/>
      <c r="K95"/>
      <c r="L95"/>
      <c r="M95"/>
      <c r="N95"/>
      <c r="O95"/>
      <c r="P95"/>
      <c r="Q95"/>
      <c r="R95"/>
      <c r="S95"/>
    </row>
    <row r="96" spans="1:19" ht="15" x14ac:dyDescent="0.25">
      <c r="A96" s="20">
        <v>738075</v>
      </c>
      <c r="B96" s="55">
        <v>0.26980999999999999</v>
      </c>
      <c r="C96" s="20">
        <f t="shared" si="20"/>
        <v>0.99558676667064461</v>
      </c>
      <c r="D96" s="71">
        <f t="shared" si="21"/>
        <v>3.5965865297435763E-2</v>
      </c>
      <c r="E96" s="21" t="str">
        <f t="shared" si="22"/>
        <v>G4</v>
      </c>
      <c r="I96"/>
      <c r="J96"/>
      <c r="K96"/>
      <c r="L96"/>
      <c r="M96"/>
      <c r="N96"/>
      <c r="O96"/>
      <c r="P96"/>
      <c r="Q96"/>
      <c r="R96"/>
      <c r="S96"/>
    </row>
    <row r="97" spans="1:19" ht="15" x14ac:dyDescent="0.25">
      <c r="A97" s="20">
        <v>740342</v>
      </c>
      <c r="B97" s="55">
        <v>4.2020000000000002E-2</v>
      </c>
      <c r="C97" s="20">
        <f t="shared" si="20"/>
        <v>3.1266812055093598</v>
      </c>
      <c r="D97" s="71">
        <f t="shared" si="21"/>
        <v>4.4091658604531736E-3</v>
      </c>
      <c r="E97" s="21" t="str">
        <f t="shared" si="22"/>
        <v>G1</v>
      </c>
      <c r="I97"/>
      <c r="J97"/>
      <c r="K97"/>
      <c r="L97"/>
      <c r="M97"/>
      <c r="N97"/>
      <c r="O97"/>
      <c r="P97"/>
      <c r="Q97"/>
      <c r="R97"/>
      <c r="S97"/>
    </row>
    <row r="98" spans="1:19" ht="15" x14ac:dyDescent="0.25">
      <c r="A98" s="20">
        <v>745547</v>
      </c>
      <c r="B98" s="55">
        <v>2.14E-3</v>
      </c>
      <c r="C98" s="20">
        <f t="shared" si="20"/>
        <v>6.1448071568763432</v>
      </c>
      <c r="D98" s="71">
        <f t="shared" si="21"/>
        <v>2.1648413368200681E-4</v>
      </c>
      <c r="E98" s="21" t="str">
        <f t="shared" si="22"/>
        <v>G1</v>
      </c>
      <c r="I98"/>
      <c r="J98"/>
      <c r="K98"/>
      <c r="L98"/>
      <c r="M98"/>
      <c r="N98"/>
      <c r="O98"/>
      <c r="P98"/>
      <c r="Q98"/>
      <c r="R98"/>
      <c r="S98"/>
    </row>
    <row r="99" spans="1:19" ht="15" x14ac:dyDescent="0.25">
      <c r="A99" s="20">
        <v>745568</v>
      </c>
      <c r="B99" s="55">
        <v>4.7200000000000002E-3</v>
      </c>
      <c r="C99" s="20">
        <f t="shared" si="20"/>
        <v>5.3512153050087718</v>
      </c>
      <c r="D99" s="71">
        <f t="shared" si="21"/>
        <v>4.785912595830321E-4</v>
      </c>
      <c r="E99" s="21" t="str">
        <f t="shared" si="22"/>
        <v>G1</v>
      </c>
      <c r="I99"/>
      <c r="J99"/>
      <c r="K99"/>
      <c r="L99"/>
      <c r="M99"/>
      <c r="N99"/>
      <c r="O99"/>
      <c r="P99"/>
      <c r="Q99"/>
      <c r="R99"/>
      <c r="S99"/>
    </row>
    <row r="100" spans="1:19" ht="15" x14ac:dyDescent="0.25">
      <c r="A100" s="20">
        <v>746904</v>
      </c>
      <c r="B100" s="55">
        <v>0.1129</v>
      </c>
      <c r="C100" s="20">
        <f t="shared" si="20"/>
        <v>2.0614552443709249</v>
      </c>
      <c r="D100" s="71">
        <f t="shared" si="21"/>
        <v>1.2686804419028171E-2</v>
      </c>
      <c r="E100" s="21" t="str">
        <f t="shared" si="22"/>
        <v>G3</v>
      </c>
      <c r="I100"/>
      <c r="J100"/>
      <c r="K100"/>
      <c r="L100"/>
      <c r="M100"/>
      <c r="N100"/>
      <c r="O100"/>
      <c r="P100"/>
      <c r="Q100"/>
      <c r="R100"/>
      <c r="S100"/>
    </row>
    <row r="101" spans="1:19" ht="15" x14ac:dyDescent="0.25">
      <c r="A101" s="20">
        <v>762292</v>
      </c>
      <c r="B101" s="55">
        <v>3.5200000000000002E-2</v>
      </c>
      <c r="C101" s="20">
        <f t="shared" si="20"/>
        <v>3.3108747433688697</v>
      </c>
      <c r="D101" s="71">
        <f t="shared" si="21"/>
        <v>3.670155362992574E-3</v>
      </c>
      <c r="E101" s="21" t="str">
        <f t="shared" si="22"/>
        <v>G1</v>
      </c>
      <c r="I101"/>
      <c r="J101"/>
      <c r="K101"/>
      <c r="L101"/>
      <c r="M101"/>
      <c r="N101"/>
      <c r="O101"/>
      <c r="P101"/>
      <c r="Q101"/>
      <c r="R101"/>
      <c r="S101"/>
    </row>
    <row r="102" spans="1:19" ht="15" x14ac:dyDescent="0.25">
      <c r="A102" s="20">
        <v>762741</v>
      </c>
      <c r="B102" s="55">
        <v>4.1730000000000003E-2</v>
      </c>
      <c r="C102" s="20">
        <f t="shared" si="20"/>
        <v>3.1339092808195188</v>
      </c>
      <c r="D102" s="71">
        <f t="shared" si="21"/>
        <v>4.3775499877287552E-3</v>
      </c>
      <c r="E102" s="21" t="str">
        <f t="shared" si="22"/>
        <v>G1</v>
      </c>
      <c r="I102"/>
      <c r="J102"/>
      <c r="K102"/>
      <c r="L102"/>
      <c r="M102"/>
      <c r="N102"/>
      <c r="O102"/>
      <c r="P102"/>
      <c r="Q102"/>
      <c r="R102"/>
      <c r="S102"/>
    </row>
    <row r="103" spans="1:19" ht="15" x14ac:dyDescent="0.25">
      <c r="A103" s="20">
        <v>763586</v>
      </c>
      <c r="B103" s="55">
        <v>3.8559999999999997E-2</v>
      </c>
      <c r="C103" s="20">
        <f t="shared" si="20"/>
        <v>3.216216690843273</v>
      </c>
      <c r="D103" s="71">
        <f t="shared" si="21"/>
        <v>4.0330694237384439E-3</v>
      </c>
      <c r="E103" s="21" t="str">
        <f t="shared" si="22"/>
        <v>G1</v>
      </c>
      <c r="I103"/>
      <c r="J103"/>
      <c r="K103"/>
      <c r="L103"/>
      <c r="M103"/>
      <c r="N103"/>
      <c r="O103"/>
      <c r="P103"/>
      <c r="Q103"/>
      <c r="R103"/>
      <c r="S103"/>
    </row>
    <row r="104" spans="1:19" ht="15" x14ac:dyDescent="0.25">
      <c r="A104" s="20">
        <v>764403</v>
      </c>
      <c r="B104" s="55">
        <v>0.20694000000000001</v>
      </c>
      <c r="C104" s="20">
        <f t="shared" si="20"/>
        <v>1.3434699846386906</v>
      </c>
      <c r="D104" s="71">
        <f t="shared" si="21"/>
        <v>2.5669685900042559E-2</v>
      </c>
      <c r="E104" s="21" t="str">
        <f t="shared" si="22"/>
        <v>G4</v>
      </c>
      <c r="I104"/>
      <c r="J104"/>
      <c r="K104"/>
      <c r="L104"/>
      <c r="M104"/>
      <c r="N104"/>
      <c r="O104"/>
      <c r="P104"/>
      <c r="Q104"/>
      <c r="R104"/>
      <c r="S104"/>
    </row>
    <row r="105" spans="1:19" ht="15" x14ac:dyDescent="0.25">
      <c r="A105" s="20">
        <v>768119</v>
      </c>
      <c r="B105" s="55">
        <v>1.2449999999999999E-2</v>
      </c>
      <c r="C105" s="20">
        <f t="shared" si="20"/>
        <v>4.3735065054941504</v>
      </c>
      <c r="D105" s="71">
        <f t="shared" si="21"/>
        <v>1.2712581410317526E-3</v>
      </c>
      <c r="E105" s="21" t="str">
        <f t="shared" si="22"/>
        <v>G1</v>
      </c>
      <c r="I105"/>
      <c r="J105"/>
      <c r="K105"/>
      <c r="L105"/>
      <c r="M105"/>
      <c r="N105"/>
      <c r="O105"/>
      <c r="P105"/>
      <c r="Q105"/>
      <c r="R105"/>
      <c r="S105"/>
    </row>
    <row r="106" spans="1:19" ht="15" x14ac:dyDescent="0.25">
      <c r="A106" s="20">
        <v>773309</v>
      </c>
      <c r="B106" s="55">
        <v>0.15081</v>
      </c>
      <c r="C106" s="20">
        <f t="shared" si="20"/>
        <v>1.7282621875981945</v>
      </c>
      <c r="D106" s="71">
        <f t="shared" si="21"/>
        <v>1.7615011332178708E-2</v>
      </c>
      <c r="E106" s="21" t="str">
        <f t="shared" si="22"/>
        <v>G3</v>
      </c>
      <c r="I106"/>
      <c r="J106"/>
      <c r="K106"/>
      <c r="L106"/>
      <c r="M106"/>
      <c r="N106"/>
      <c r="O106"/>
      <c r="P106"/>
      <c r="Q106"/>
      <c r="R106"/>
      <c r="S106"/>
    </row>
    <row r="107" spans="1:19" ht="15" x14ac:dyDescent="0.25">
      <c r="A107" s="20">
        <v>774467</v>
      </c>
      <c r="B107" s="55">
        <v>0.11905</v>
      </c>
      <c r="C107" s="20">
        <f t="shared" si="20"/>
        <v>2.0014572977037663</v>
      </c>
      <c r="D107" s="71">
        <f t="shared" si="21"/>
        <v>1.3460725253313195E-2</v>
      </c>
      <c r="E107" s="21" t="str">
        <f t="shared" si="22"/>
        <v>G3</v>
      </c>
      <c r="I107"/>
      <c r="J107"/>
      <c r="K107"/>
      <c r="L107"/>
      <c r="M107"/>
      <c r="N107"/>
      <c r="O107"/>
      <c r="P107"/>
      <c r="Q107"/>
      <c r="R107"/>
      <c r="S107"/>
    </row>
    <row r="108" spans="1:19" ht="15" x14ac:dyDescent="0.25">
      <c r="A108" s="20">
        <v>782055</v>
      </c>
      <c r="B108" s="55">
        <v>0.17138</v>
      </c>
      <c r="C108" s="20">
        <f t="shared" si="20"/>
        <v>1.5758783532097544</v>
      </c>
      <c r="D108" s="71">
        <f t="shared" si="21"/>
        <v>2.0455257256422849E-2</v>
      </c>
      <c r="E108" s="21" t="str">
        <f t="shared" si="22"/>
        <v>G3</v>
      </c>
      <c r="I108"/>
      <c r="J108"/>
      <c r="K108"/>
      <c r="L108"/>
      <c r="M108"/>
      <c r="N108"/>
      <c r="O108"/>
      <c r="P108"/>
      <c r="Q108"/>
      <c r="R108"/>
      <c r="S108"/>
    </row>
    <row r="109" spans="1:19" ht="15" x14ac:dyDescent="0.25">
      <c r="A109" s="20">
        <v>784642</v>
      </c>
      <c r="B109" s="55">
        <v>0.12605</v>
      </c>
      <c r="C109" s="20">
        <f t="shared" si="20"/>
        <v>1.9363445121471667</v>
      </c>
      <c r="D109" s="71">
        <f t="shared" si="21"/>
        <v>1.4353355833712153E-2</v>
      </c>
      <c r="E109" s="21" t="str">
        <f t="shared" si="22"/>
        <v>G3</v>
      </c>
      <c r="I109"/>
      <c r="J109"/>
      <c r="K109"/>
      <c r="L109"/>
      <c r="M109"/>
      <c r="N109"/>
      <c r="O109"/>
      <c r="P109"/>
      <c r="Q109"/>
      <c r="R109"/>
      <c r="S109"/>
    </row>
    <row r="110" spans="1:19" ht="15" x14ac:dyDescent="0.25">
      <c r="A110" s="20">
        <v>788626</v>
      </c>
      <c r="B110" s="55">
        <v>0.19461000000000001</v>
      </c>
      <c r="C110" s="20">
        <f t="shared" si="20"/>
        <v>1.4203290762564857</v>
      </c>
      <c r="D110" s="71">
        <f t="shared" si="21"/>
        <v>2.3815878152659377E-2</v>
      </c>
      <c r="E110" s="21" t="str">
        <f t="shared" si="22"/>
        <v>G3</v>
      </c>
      <c r="I110"/>
      <c r="J110"/>
      <c r="K110"/>
      <c r="L110"/>
      <c r="M110"/>
      <c r="N110"/>
      <c r="O110"/>
      <c r="P110"/>
      <c r="Q110"/>
      <c r="R110"/>
      <c r="S110"/>
    </row>
    <row r="111" spans="1:19" ht="15" x14ac:dyDescent="0.25">
      <c r="A111" s="20">
        <v>788715</v>
      </c>
      <c r="B111" s="55">
        <v>0.28715000000000002</v>
      </c>
      <c r="C111" s="20">
        <f t="shared" si="20"/>
        <v>0.90926629228966438</v>
      </c>
      <c r="D111" s="71">
        <f t="shared" si="21"/>
        <v>3.9081667568965993E-2</v>
      </c>
      <c r="E111" s="21" t="str">
        <f t="shared" si="22"/>
        <v>G4</v>
      </c>
      <c r="I111"/>
      <c r="J111"/>
      <c r="K111"/>
      <c r="L111"/>
      <c r="M111"/>
      <c r="N111"/>
      <c r="O111"/>
      <c r="P111"/>
      <c r="Q111"/>
      <c r="R111"/>
      <c r="S111"/>
    </row>
    <row r="112" spans="1:19" ht="15" x14ac:dyDescent="0.25">
      <c r="A112" s="20">
        <v>789191</v>
      </c>
      <c r="B112" s="55">
        <v>0.90329999999999999</v>
      </c>
      <c r="C112" s="20">
        <f t="shared" si="20"/>
        <v>-2.2344413216965489</v>
      </c>
      <c r="D112" s="71">
        <f t="shared" si="21"/>
        <v>0.48537209734606773</v>
      </c>
      <c r="E112" s="21" t="str">
        <f t="shared" si="22"/>
        <v>G7</v>
      </c>
      <c r="I112"/>
      <c r="J112"/>
      <c r="K112"/>
      <c r="L112"/>
      <c r="M112"/>
      <c r="N112"/>
      <c r="O112"/>
      <c r="P112"/>
      <c r="Q112"/>
      <c r="R112"/>
      <c r="S112"/>
    </row>
    <row r="113" spans="1:19" ht="15" x14ac:dyDescent="0.25">
      <c r="A113" s="20">
        <v>795139</v>
      </c>
      <c r="B113" s="55">
        <v>8.6379999999999998E-2</v>
      </c>
      <c r="C113" s="20">
        <f t="shared" si="20"/>
        <v>2.3586585625481411</v>
      </c>
      <c r="D113" s="71">
        <f t="shared" si="21"/>
        <v>9.4557811022044809E-3</v>
      </c>
      <c r="E113" s="21" t="str">
        <f t="shared" si="22"/>
        <v>G2</v>
      </c>
      <c r="I113"/>
      <c r="J113"/>
      <c r="K113"/>
      <c r="L113"/>
      <c r="M113"/>
      <c r="N113"/>
      <c r="O113"/>
      <c r="P113"/>
      <c r="Q113"/>
      <c r="R113"/>
      <c r="S113"/>
    </row>
    <row r="114" spans="1:19" ht="15" x14ac:dyDescent="0.25">
      <c r="A114" s="20">
        <v>802581</v>
      </c>
      <c r="B114" s="55">
        <v>0.10168000000000001</v>
      </c>
      <c r="C114" s="20">
        <f t="shared" si="20"/>
        <v>2.1786957253830845</v>
      </c>
      <c r="D114" s="71">
        <f t="shared" si="21"/>
        <v>1.1299138239674921E-2</v>
      </c>
      <c r="E114" s="21" t="str">
        <f t="shared" si="22"/>
        <v>G2</v>
      </c>
      <c r="I114"/>
      <c r="J114"/>
      <c r="K114"/>
      <c r="L114"/>
      <c r="M114"/>
      <c r="N114"/>
      <c r="O114"/>
      <c r="P114"/>
      <c r="Q114"/>
      <c r="R114"/>
      <c r="S114"/>
    </row>
    <row r="115" spans="1:19" ht="15" x14ac:dyDescent="0.25">
      <c r="A115" s="20">
        <v>815628</v>
      </c>
      <c r="B115" s="55">
        <v>7.8140000000000001E-2</v>
      </c>
      <c r="C115" s="20">
        <f t="shared" si="20"/>
        <v>2.4678912785824423</v>
      </c>
      <c r="D115" s="71">
        <f t="shared" si="21"/>
        <v>8.4856163999418362E-3</v>
      </c>
      <c r="E115" s="21" t="str">
        <f t="shared" si="22"/>
        <v>G2</v>
      </c>
      <c r="I115"/>
      <c r="J115"/>
      <c r="K115"/>
      <c r="L115"/>
      <c r="M115"/>
      <c r="N115"/>
      <c r="O115"/>
      <c r="P115"/>
      <c r="Q115"/>
      <c r="R115"/>
      <c r="S115"/>
    </row>
    <row r="116" spans="1:19" ht="15" x14ac:dyDescent="0.25">
      <c r="A116" s="20">
        <v>815746</v>
      </c>
      <c r="B116" s="55">
        <v>0.20426</v>
      </c>
      <c r="C116" s="20">
        <f t="shared" si="20"/>
        <v>1.3598788071723695</v>
      </c>
      <c r="D116" s="71">
        <f t="shared" si="21"/>
        <v>2.5262467490587782E-2</v>
      </c>
      <c r="E116" s="21" t="str">
        <f t="shared" si="22"/>
        <v>G3</v>
      </c>
      <c r="I116"/>
      <c r="J116"/>
      <c r="K116"/>
      <c r="L116"/>
      <c r="M116"/>
      <c r="N116"/>
      <c r="O116"/>
      <c r="P116"/>
      <c r="Q116"/>
      <c r="R116"/>
      <c r="S116"/>
    </row>
    <row r="117" spans="1:19" ht="15" x14ac:dyDescent="0.25">
      <c r="A117" s="20">
        <v>819324</v>
      </c>
      <c r="B117" s="55">
        <v>3.5990000000000001E-2</v>
      </c>
      <c r="C117" s="20">
        <f t="shared" si="20"/>
        <v>3.287860545909786</v>
      </c>
      <c r="D117" s="71">
        <f t="shared" si="21"/>
        <v>3.7552796271231306E-3</v>
      </c>
      <c r="E117" s="21" t="str">
        <f t="shared" si="22"/>
        <v>G1</v>
      </c>
      <c r="I117"/>
      <c r="J117"/>
      <c r="K117"/>
      <c r="L117"/>
      <c r="M117"/>
      <c r="N117"/>
      <c r="O117"/>
      <c r="P117"/>
      <c r="Q117"/>
      <c r="R117"/>
      <c r="S117"/>
    </row>
    <row r="118" spans="1:19" ht="15" x14ac:dyDescent="0.25">
      <c r="A118" s="20">
        <v>821029</v>
      </c>
      <c r="B118" s="55">
        <v>0.23555999999999999</v>
      </c>
      <c r="C118" s="20">
        <f t="shared" si="20"/>
        <v>1.1771778815444105</v>
      </c>
      <c r="D118" s="71">
        <f t="shared" si="21"/>
        <v>3.0173664399059285E-2</v>
      </c>
      <c r="E118" s="21" t="str">
        <f t="shared" si="22"/>
        <v>G4</v>
      </c>
      <c r="I118"/>
      <c r="J118"/>
      <c r="K118"/>
      <c r="L118"/>
      <c r="M118"/>
      <c r="N118"/>
      <c r="O118"/>
      <c r="P118"/>
      <c r="Q118"/>
      <c r="R118"/>
      <c r="S118"/>
    </row>
    <row r="119" spans="1:19" ht="15" x14ac:dyDescent="0.25">
      <c r="A119" s="20">
        <v>828162</v>
      </c>
      <c r="B119" s="55">
        <v>4.3189999999999999E-2</v>
      </c>
      <c r="C119" s="20">
        <f t="shared" si="20"/>
        <v>3.0979958476741576</v>
      </c>
      <c r="D119" s="71">
        <f t="shared" si="21"/>
        <v>4.5368937431229765E-3</v>
      </c>
      <c r="E119" s="21" t="str">
        <f t="shared" si="22"/>
        <v>G1</v>
      </c>
      <c r="I119"/>
      <c r="J119"/>
      <c r="K119"/>
      <c r="L119"/>
      <c r="M119"/>
      <c r="N119"/>
      <c r="O119"/>
      <c r="P119"/>
      <c r="Q119"/>
      <c r="R119"/>
      <c r="S119"/>
    </row>
    <row r="120" spans="1:19" ht="15" x14ac:dyDescent="0.25">
      <c r="A120" s="20">
        <v>828787</v>
      </c>
      <c r="B120" s="55">
        <v>0.24875</v>
      </c>
      <c r="C120" s="20">
        <f t="shared" si="20"/>
        <v>1.1052901098107153</v>
      </c>
      <c r="D120" s="71">
        <f t="shared" si="21"/>
        <v>3.2349896279034673E-2</v>
      </c>
      <c r="E120" s="21" t="str">
        <f t="shared" si="22"/>
        <v>G4</v>
      </c>
      <c r="I120"/>
      <c r="J120"/>
      <c r="K120"/>
      <c r="L120"/>
      <c r="M120"/>
      <c r="N120"/>
      <c r="O120"/>
      <c r="P120"/>
      <c r="Q120"/>
      <c r="R120"/>
      <c r="S120"/>
    </row>
    <row r="121" spans="1:19" ht="15" x14ac:dyDescent="0.25">
      <c r="A121" s="20">
        <v>832941</v>
      </c>
      <c r="B121" s="55">
        <v>0.21987000000000001</v>
      </c>
      <c r="C121" s="20">
        <f t="shared" si="20"/>
        <v>1.2664241098570896</v>
      </c>
      <c r="D121" s="71">
        <f t="shared" si="21"/>
        <v>2.7668727856935273E-2</v>
      </c>
      <c r="E121" s="21" t="str">
        <f t="shared" si="22"/>
        <v>G4</v>
      </c>
      <c r="I121"/>
      <c r="J121"/>
      <c r="K121"/>
      <c r="L121"/>
      <c r="M121"/>
      <c r="N121"/>
      <c r="O121"/>
      <c r="P121"/>
      <c r="Q121"/>
      <c r="R121"/>
      <c r="S121"/>
    </row>
    <row r="122" spans="1:19" ht="15" x14ac:dyDescent="0.25">
      <c r="A122" s="20">
        <v>835642</v>
      </c>
      <c r="B122" s="55">
        <v>8.8760000000000006E-2</v>
      </c>
      <c r="C122" s="20">
        <f t="shared" si="20"/>
        <v>2.3288702112613606</v>
      </c>
      <c r="D122" s="71">
        <f t="shared" si="21"/>
        <v>9.7389060298706618E-3</v>
      </c>
      <c r="E122" s="21" t="str">
        <f t="shared" si="22"/>
        <v>G2</v>
      </c>
      <c r="I122"/>
      <c r="J122"/>
      <c r="K122"/>
      <c r="L122"/>
      <c r="M122"/>
      <c r="N122"/>
      <c r="O122"/>
      <c r="P122"/>
      <c r="Q122"/>
      <c r="R122"/>
      <c r="S122"/>
    </row>
    <row r="123" spans="1:19" ht="15" x14ac:dyDescent="0.25">
      <c r="A123" s="20">
        <v>846664</v>
      </c>
      <c r="B123" s="55">
        <v>0.11888</v>
      </c>
      <c r="C123" s="20">
        <f t="shared" si="20"/>
        <v>2.0030792445447223</v>
      </c>
      <c r="D123" s="71">
        <f t="shared" si="21"/>
        <v>1.3439203543261806E-2</v>
      </c>
      <c r="E123" s="21" t="str">
        <f t="shared" si="22"/>
        <v>G3</v>
      </c>
      <c r="I123"/>
      <c r="J123"/>
      <c r="K123"/>
      <c r="L123"/>
      <c r="M123"/>
      <c r="N123"/>
      <c r="O123"/>
      <c r="P123"/>
      <c r="Q123"/>
      <c r="R123"/>
      <c r="S123"/>
    </row>
    <row r="124" spans="1:19" ht="15" x14ac:dyDescent="0.25">
      <c r="A124" s="20">
        <v>847200</v>
      </c>
      <c r="B124" s="55">
        <v>0.17530000000000001</v>
      </c>
      <c r="C124" s="20">
        <f t="shared" si="20"/>
        <v>1.5485208919121209</v>
      </c>
      <c r="D124" s="71">
        <f t="shared" si="21"/>
        <v>2.1010666163082482E-2</v>
      </c>
      <c r="E124" s="21" t="str">
        <f t="shared" si="22"/>
        <v>G3</v>
      </c>
      <c r="I124"/>
      <c r="J124"/>
      <c r="K124"/>
      <c r="L124"/>
      <c r="M124"/>
      <c r="N124"/>
      <c r="O124"/>
      <c r="P124"/>
      <c r="Q124"/>
      <c r="R124"/>
      <c r="S124"/>
    </row>
    <row r="125" spans="1:19" ht="15" x14ac:dyDescent="0.25">
      <c r="A125" s="20">
        <v>847531</v>
      </c>
      <c r="B125" s="55">
        <v>8.5000000000000006E-2</v>
      </c>
      <c r="C125" s="20">
        <f t="shared" si="20"/>
        <v>2.3762728087852047</v>
      </c>
      <c r="D125" s="71">
        <f t="shared" si="21"/>
        <v>9.2922170816736992E-3</v>
      </c>
      <c r="E125" s="21" t="str">
        <f t="shared" si="22"/>
        <v>G2</v>
      </c>
      <c r="I125"/>
      <c r="J125"/>
      <c r="K125"/>
      <c r="L125"/>
      <c r="M125"/>
      <c r="N125"/>
      <c r="O125"/>
      <c r="P125"/>
      <c r="Q125"/>
      <c r="R125"/>
      <c r="S125"/>
    </row>
    <row r="126" spans="1:19" ht="15" x14ac:dyDescent="0.25">
      <c r="A126" s="20">
        <v>847816</v>
      </c>
      <c r="B126" s="55">
        <v>4.5420000000000002E-2</v>
      </c>
      <c r="C126" s="20">
        <f t="shared" si="20"/>
        <v>3.0453189164911625</v>
      </c>
      <c r="D126" s="71">
        <f t="shared" si="21"/>
        <v>4.7811167329778071E-3</v>
      </c>
      <c r="E126" s="21" t="str">
        <f t="shared" si="22"/>
        <v>G2</v>
      </c>
      <c r="I126"/>
      <c r="J126"/>
      <c r="K126"/>
      <c r="L126"/>
      <c r="M126"/>
      <c r="N126"/>
      <c r="O126"/>
      <c r="P126"/>
      <c r="Q126"/>
      <c r="R126"/>
      <c r="S126"/>
    </row>
    <row r="127" spans="1:19" ht="15" x14ac:dyDescent="0.25">
      <c r="A127" s="20">
        <v>857476</v>
      </c>
      <c r="B127" s="55">
        <v>6.7970000000000003E-2</v>
      </c>
      <c r="C127" s="20">
        <f t="shared" ref="C127:C190" si="24">LN((1-B127)/B127)</f>
        <v>2.6182985716501963</v>
      </c>
      <c r="D127" s="71">
        <f t="shared" ref="D127:D190" si="25">1/(1+$B$45*EXP(C127))</f>
        <v>7.3093248098722629E-3</v>
      </c>
      <c r="E127" s="21" t="str">
        <f t="shared" ref="E127:E190" si="26">VLOOKUP(B127,$I$61:$K$67,3,TRUE)</f>
        <v>G2</v>
      </c>
      <c r="I127"/>
      <c r="J127"/>
      <c r="K127"/>
      <c r="L127"/>
      <c r="M127"/>
      <c r="N127"/>
      <c r="O127"/>
      <c r="P127"/>
      <c r="Q127"/>
      <c r="R127"/>
      <c r="S127"/>
    </row>
    <row r="128" spans="1:19" ht="15" x14ac:dyDescent="0.25">
      <c r="A128" s="20">
        <v>861015</v>
      </c>
      <c r="B128" s="55">
        <v>6.5680000000000002E-2</v>
      </c>
      <c r="C128" s="20">
        <f t="shared" si="24"/>
        <v>2.6550245268261374</v>
      </c>
      <c r="D128" s="71">
        <f t="shared" si="25"/>
        <v>7.0476100272890583E-3</v>
      </c>
      <c r="E128" s="21" t="str">
        <f t="shared" si="26"/>
        <v>G2</v>
      </c>
      <c r="I128"/>
      <c r="J128"/>
      <c r="K128"/>
      <c r="L128"/>
      <c r="M128"/>
      <c r="N128"/>
      <c r="O128"/>
      <c r="P128"/>
      <c r="Q128"/>
      <c r="R128"/>
      <c r="S128"/>
    </row>
    <row r="129" spans="1:19" ht="15" x14ac:dyDescent="0.25">
      <c r="A129" s="20">
        <v>861348</v>
      </c>
      <c r="B129" s="55">
        <v>8.6889999999999995E-2</v>
      </c>
      <c r="C129" s="20">
        <f t="shared" si="24"/>
        <v>2.3522134044142002</v>
      </c>
      <c r="D129" s="71">
        <f t="shared" si="25"/>
        <v>9.5163400893039912E-3</v>
      </c>
      <c r="E129" s="21" t="str">
        <f t="shared" si="26"/>
        <v>G2</v>
      </c>
      <c r="I129"/>
      <c r="J129"/>
      <c r="K129"/>
      <c r="L129"/>
      <c r="M129"/>
      <c r="N129"/>
      <c r="O129"/>
      <c r="P129"/>
      <c r="Q129"/>
      <c r="R129"/>
      <c r="S129"/>
    </row>
    <row r="130" spans="1:19" ht="15" x14ac:dyDescent="0.25">
      <c r="A130" s="20">
        <v>868625</v>
      </c>
      <c r="B130" s="55">
        <v>0.1182</v>
      </c>
      <c r="C130" s="20">
        <f t="shared" si="24"/>
        <v>2.0095871679518393</v>
      </c>
      <c r="D130" s="71">
        <f t="shared" si="25"/>
        <v>1.3353190310772294E-2</v>
      </c>
      <c r="E130" s="21" t="str">
        <f t="shared" si="26"/>
        <v>G3</v>
      </c>
      <c r="I130"/>
      <c r="J130"/>
      <c r="K130"/>
      <c r="L130"/>
      <c r="M130"/>
      <c r="N130"/>
      <c r="O130"/>
      <c r="P130"/>
      <c r="Q130"/>
      <c r="R130"/>
      <c r="S130"/>
    </row>
    <row r="131" spans="1:19" ht="15" x14ac:dyDescent="0.25">
      <c r="A131" s="20">
        <v>901182</v>
      </c>
      <c r="B131" s="55">
        <v>0.27977999999999997</v>
      </c>
      <c r="C131" s="20">
        <f t="shared" si="24"/>
        <v>0.9455531408447807</v>
      </c>
      <c r="D131" s="71">
        <f t="shared" si="25"/>
        <v>3.7741502384947924E-2</v>
      </c>
      <c r="E131" s="21" t="str">
        <f t="shared" si="26"/>
        <v>G4</v>
      </c>
      <c r="I131"/>
      <c r="J131"/>
      <c r="K131"/>
      <c r="L131"/>
      <c r="M131"/>
      <c r="N131"/>
      <c r="O131"/>
      <c r="P131"/>
      <c r="Q131"/>
      <c r="R131"/>
      <c r="S131"/>
    </row>
    <row r="132" spans="1:19" ht="15" x14ac:dyDescent="0.25">
      <c r="A132" s="20">
        <v>904894</v>
      </c>
      <c r="B132" s="55">
        <v>1.55E-2</v>
      </c>
      <c r="C132" s="20">
        <f t="shared" si="24"/>
        <v>4.1512938741539793</v>
      </c>
      <c r="D132" s="71">
        <f t="shared" si="25"/>
        <v>1.5870920109183309E-3</v>
      </c>
      <c r="E132" s="21" t="str">
        <f t="shared" si="26"/>
        <v>G1</v>
      </c>
      <c r="I132"/>
      <c r="J132"/>
      <c r="K132"/>
      <c r="L132"/>
      <c r="M132"/>
      <c r="N132"/>
      <c r="O132"/>
      <c r="P132"/>
      <c r="Q132"/>
      <c r="R132"/>
      <c r="S132"/>
    </row>
    <row r="133" spans="1:19" ht="15" x14ac:dyDescent="0.25">
      <c r="A133" s="20">
        <v>920947</v>
      </c>
      <c r="B133" s="55">
        <v>0.34114</v>
      </c>
      <c r="C133" s="20">
        <f t="shared" si="24"/>
        <v>0.65821811862495005</v>
      </c>
      <c r="D133" s="71">
        <f t="shared" si="25"/>
        <v>4.9680405053042755E-2</v>
      </c>
      <c r="E133" s="21" t="str">
        <f t="shared" si="26"/>
        <v>G4</v>
      </c>
      <c r="I133"/>
      <c r="J133"/>
      <c r="K133"/>
      <c r="L133"/>
      <c r="M133"/>
      <c r="N133"/>
      <c r="O133"/>
      <c r="P133"/>
      <c r="Q133"/>
      <c r="R133"/>
      <c r="S133"/>
    </row>
    <row r="134" spans="1:19" ht="15" x14ac:dyDescent="0.25">
      <c r="A134" s="20">
        <v>923064</v>
      </c>
      <c r="B134" s="55">
        <v>1.8790000000000001E-2</v>
      </c>
      <c r="C134" s="20">
        <f t="shared" si="24"/>
        <v>3.955461690509146</v>
      </c>
      <c r="D134" s="71">
        <f t="shared" si="25"/>
        <v>1.9297536189372886E-3</v>
      </c>
      <c r="E134" s="21" t="str">
        <f t="shared" si="26"/>
        <v>G1</v>
      </c>
      <c r="I134"/>
      <c r="J134"/>
      <c r="K134"/>
      <c r="L134"/>
      <c r="M134"/>
      <c r="N134"/>
      <c r="O134"/>
      <c r="P134"/>
      <c r="Q134"/>
      <c r="R134"/>
      <c r="S134"/>
    </row>
    <row r="135" spans="1:19" ht="15" x14ac:dyDescent="0.25">
      <c r="A135" s="20">
        <v>926254</v>
      </c>
      <c r="B135" s="55">
        <v>0.4234</v>
      </c>
      <c r="C135" s="20">
        <f t="shared" si="24"/>
        <v>0.30883142650353701</v>
      </c>
      <c r="D135" s="71">
        <f t="shared" si="25"/>
        <v>6.9022597044770248E-2</v>
      </c>
      <c r="E135" s="21" t="str">
        <f t="shared" si="26"/>
        <v>G5</v>
      </c>
      <c r="I135"/>
      <c r="J135"/>
      <c r="K135"/>
      <c r="L135"/>
      <c r="M135"/>
      <c r="N135"/>
      <c r="O135"/>
      <c r="P135"/>
      <c r="Q135"/>
      <c r="R135"/>
      <c r="S135"/>
    </row>
    <row r="136" spans="1:19" ht="15" x14ac:dyDescent="0.25">
      <c r="A136" s="20">
        <v>932715</v>
      </c>
      <c r="B136" s="55">
        <v>0.14119999999999999</v>
      </c>
      <c r="C136" s="20">
        <f t="shared" si="24"/>
        <v>1.8053587409454843</v>
      </c>
      <c r="D136" s="71">
        <f t="shared" si="25"/>
        <v>1.6329328449533838E-2</v>
      </c>
      <c r="E136" s="21" t="str">
        <f t="shared" si="26"/>
        <v>G3</v>
      </c>
      <c r="I136"/>
      <c r="J136"/>
      <c r="K136"/>
      <c r="L136"/>
      <c r="M136"/>
      <c r="N136"/>
      <c r="O136"/>
      <c r="P136"/>
      <c r="Q136"/>
      <c r="R136"/>
      <c r="S136"/>
    </row>
    <row r="137" spans="1:19" ht="15" x14ac:dyDescent="0.25">
      <c r="A137" s="20">
        <v>933152</v>
      </c>
      <c r="B137" s="55">
        <v>0.93537999999999999</v>
      </c>
      <c r="C137" s="20">
        <f t="shared" si="24"/>
        <v>-2.6724289034395694</v>
      </c>
      <c r="D137" s="71">
        <f t="shared" si="25"/>
        <v>0.59374267860972896</v>
      </c>
      <c r="E137" s="21" t="str">
        <f t="shared" si="26"/>
        <v>G7</v>
      </c>
      <c r="I137"/>
      <c r="J137"/>
      <c r="K137"/>
      <c r="L137"/>
      <c r="M137"/>
      <c r="N137"/>
      <c r="O137"/>
      <c r="P137"/>
      <c r="Q137"/>
      <c r="R137"/>
      <c r="S137"/>
    </row>
    <row r="138" spans="1:19" ht="15" x14ac:dyDescent="0.25">
      <c r="A138" s="20">
        <v>980156</v>
      </c>
      <c r="B138" s="55">
        <v>2.3470000000000001E-2</v>
      </c>
      <c r="C138" s="20">
        <f t="shared" si="24"/>
        <v>3.7282824619480972</v>
      </c>
      <c r="D138" s="71">
        <f t="shared" si="25"/>
        <v>2.4207550434485912E-3</v>
      </c>
      <c r="E138" s="21" t="str">
        <f t="shared" si="26"/>
        <v>G1</v>
      </c>
      <c r="I138"/>
      <c r="J138"/>
      <c r="K138"/>
      <c r="L138"/>
      <c r="M138"/>
      <c r="N138"/>
      <c r="O138"/>
      <c r="P138"/>
      <c r="Q138"/>
      <c r="R138"/>
      <c r="S138"/>
    </row>
    <row r="139" spans="1:19" ht="15" x14ac:dyDescent="0.25">
      <c r="A139" s="20">
        <v>983649</v>
      </c>
      <c r="B139" s="55">
        <v>3.4599999999999999E-2</v>
      </c>
      <c r="C139" s="20">
        <f t="shared" si="24"/>
        <v>3.3286888411627142</v>
      </c>
      <c r="D139" s="71">
        <f t="shared" si="25"/>
        <v>3.6055874089939936E-3</v>
      </c>
      <c r="E139" s="21" t="str">
        <f t="shared" si="26"/>
        <v>G1</v>
      </c>
      <c r="I139"/>
      <c r="J139"/>
      <c r="K139"/>
      <c r="L139"/>
      <c r="M139"/>
      <c r="N139"/>
      <c r="O139"/>
      <c r="P139"/>
      <c r="Q139"/>
      <c r="R139"/>
      <c r="S139"/>
    </row>
    <row r="140" spans="1:19" ht="15" x14ac:dyDescent="0.25">
      <c r="A140" s="20">
        <v>1009036</v>
      </c>
      <c r="B140" s="55">
        <v>2.7830000000000001E-2</v>
      </c>
      <c r="C140" s="20">
        <f t="shared" si="24"/>
        <v>3.553416110749263</v>
      </c>
      <c r="D140" s="71">
        <f t="shared" si="25"/>
        <v>2.8819967682524286E-3</v>
      </c>
      <c r="E140" s="21" t="str">
        <f t="shared" si="26"/>
        <v>G1</v>
      </c>
      <c r="I140"/>
      <c r="J140"/>
      <c r="K140"/>
      <c r="L140"/>
      <c r="M140"/>
      <c r="N140"/>
      <c r="O140"/>
      <c r="P140"/>
      <c r="Q140"/>
      <c r="R140"/>
      <c r="S140"/>
    </row>
    <row r="141" spans="1:19" ht="15" x14ac:dyDescent="0.25">
      <c r="A141" s="20">
        <v>1023779</v>
      </c>
      <c r="B141" s="55">
        <v>0.97162999999999999</v>
      </c>
      <c r="C141" s="20">
        <f t="shared" si="24"/>
        <v>-3.5336428247346512</v>
      </c>
      <c r="D141" s="71">
        <f t="shared" si="25"/>
        <v>0.77568117107111056</v>
      </c>
      <c r="E141" s="21" t="str">
        <f t="shared" si="26"/>
        <v>G7</v>
      </c>
      <c r="I141"/>
      <c r="J141"/>
      <c r="K141"/>
      <c r="L141"/>
      <c r="M141"/>
      <c r="N141"/>
      <c r="O141"/>
      <c r="P141"/>
      <c r="Q141"/>
      <c r="R141"/>
      <c r="S141"/>
    </row>
    <row r="142" spans="1:19" ht="15" x14ac:dyDescent="0.25">
      <c r="A142" s="20">
        <v>1039316</v>
      </c>
      <c r="B142" s="55">
        <v>9.5519999999999994E-2</v>
      </c>
      <c r="C142" s="20">
        <f t="shared" si="24"/>
        <v>2.2480245432826886</v>
      </c>
      <c r="D142" s="71">
        <f t="shared" si="25"/>
        <v>1.0550304769389177E-2</v>
      </c>
      <c r="E142" s="21" t="str">
        <f t="shared" si="26"/>
        <v>G2</v>
      </c>
      <c r="I142"/>
      <c r="J142"/>
      <c r="K142"/>
      <c r="L142"/>
      <c r="M142"/>
      <c r="N142"/>
      <c r="O142"/>
      <c r="P142"/>
      <c r="Q142"/>
      <c r="R142"/>
      <c r="S142"/>
    </row>
    <row r="143" spans="1:19" ht="15" x14ac:dyDescent="0.25">
      <c r="A143" s="20">
        <v>1043987</v>
      </c>
      <c r="B143" s="55">
        <v>2.8580000000000001E-2</v>
      </c>
      <c r="C143" s="20">
        <f t="shared" si="24"/>
        <v>3.5260517460388239</v>
      </c>
      <c r="D143" s="71">
        <f t="shared" si="25"/>
        <v>2.9617129230379382E-3</v>
      </c>
      <c r="E143" s="21" t="str">
        <f t="shared" si="26"/>
        <v>G1</v>
      </c>
      <c r="I143"/>
      <c r="J143"/>
      <c r="K143"/>
      <c r="L143"/>
      <c r="M143"/>
      <c r="N143"/>
      <c r="O143"/>
      <c r="P143"/>
      <c r="Q143"/>
      <c r="R143"/>
      <c r="S143"/>
    </row>
    <row r="144" spans="1:19" ht="15" x14ac:dyDescent="0.25">
      <c r="A144" s="20">
        <v>1046262</v>
      </c>
      <c r="B144" s="55">
        <v>9.1600000000000001E-2</v>
      </c>
      <c r="C144" s="20">
        <f t="shared" si="24"/>
        <v>2.294253538551319</v>
      </c>
      <c r="D144" s="71">
        <f t="shared" si="25"/>
        <v>1.0078480367062968E-2</v>
      </c>
      <c r="E144" s="21" t="str">
        <f t="shared" si="26"/>
        <v>G2</v>
      </c>
      <c r="I144"/>
      <c r="J144"/>
      <c r="K144"/>
      <c r="L144"/>
      <c r="M144"/>
      <c r="N144"/>
      <c r="O144"/>
      <c r="P144"/>
      <c r="Q144"/>
      <c r="R144"/>
      <c r="S144"/>
    </row>
    <row r="145" spans="1:19" ht="15" x14ac:dyDescent="0.25">
      <c r="A145" s="20">
        <v>1059495</v>
      </c>
      <c r="B145" s="55">
        <v>4.7940000000000003E-2</v>
      </c>
      <c r="C145" s="20">
        <f t="shared" si="24"/>
        <v>2.9886778290092058</v>
      </c>
      <c r="D145" s="71">
        <f t="shared" si="25"/>
        <v>5.0583313071150852E-3</v>
      </c>
      <c r="E145" s="21" t="str">
        <f t="shared" si="26"/>
        <v>G2</v>
      </c>
      <c r="I145"/>
      <c r="J145"/>
      <c r="K145"/>
      <c r="L145"/>
      <c r="M145"/>
      <c r="N145"/>
      <c r="O145"/>
      <c r="P145"/>
      <c r="Q145"/>
      <c r="R145"/>
      <c r="S145"/>
    </row>
    <row r="146" spans="1:19" ht="15" x14ac:dyDescent="0.25">
      <c r="A146" s="20">
        <v>1089799</v>
      </c>
      <c r="B146" s="55">
        <v>4.4330000000000001E-2</v>
      </c>
      <c r="C146" s="20">
        <f t="shared" si="24"/>
        <v>3.0707510164187308</v>
      </c>
      <c r="D146" s="71">
        <f t="shared" si="25"/>
        <v>4.6616157397628005E-3</v>
      </c>
      <c r="E146" s="21" t="str">
        <f t="shared" si="26"/>
        <v>G1</v>
      </c>
      <c r="I146"/>
      <c r="J146"/>
      <c r="K146"/>
      <c r="L146"/>
      <c r="M146"/>
      <c r="N146"/>
      <c r="O146"/>
      <c r="P146"/>
      <c r="Q146"/>
      <c r="R146"/>
      <c r="S146"/>
    </row>
    <row r="147" spans="1:19" ht="15" x14ac:dyDescent="0.25">
      <c r="A147" s="20">
        <v>1099569</v>
      </c>
      <c r="B147" s="55">
        <v>3.7179999999999998E-2</v>
      </c>
      <c r="C147" s="20">
        <f t="shared" si="24"/>
        <v>3.2540954961460256</v>
      </c>
      <c r="D147" s="71">
        <f t="shared" si="25"/>
        <v>3.8837409298269404E-3</v>
      </c>
      <c r="E147" s="21" t="str">
        <f t="shared" si="26"/>
        <v>G1</v>
      </c>
      <c r="I147"/>
      <c r="J147"/>
      <c r="K147"/>
      <c r="L147"/>
      <c r="M147"/>
      <c r="N147"/>
      <c r="O147"/>
      <c r="P147"/>
      <c r="Q147"/>
      <c r="R147"/>
      <c r="S147"/>
    </row>
    <row r="148" spans="1:19" ht="15" x14ac:dyDescent="0.25">
      <c r="A148" s="20">
        <v>1102983</v>
      </c>
      <c r="B148" s="55">
        <v>0.14771000000000001</v>
      </c>
      <c r="C148" s="20">
        <f t="shared" si="24"/>
        <v>1.752675952449033</v>
      </c>
      <c r="D148" s="71">
        <f t="shared" si="25"/>
        <v>1.7197475885191302E-2</v>
      </c>
      <c r="E148" s="21" t="str">
        <f t="shared" si="26"/>
        <v>G3</v>
      </c>
      <c r="I148"/>
      <c r="J148"/>
      <c r="K148"/>
      <c r="L148"/>
      <c r="M148"/>
      <c r="N148"/>
      <c r="O148"/>
      <c r="P148"/>
      <c r="Q148"/>
      <c r="R148"/>
      <c r="S148"/>
    </row>
    <row r="149" spans="1:19" ht="15" x14ac:dyDescent="0.25">
      <c r="A149" s="20">
        <v>1125993</v>
      </c>
      <c r="B149" s="55">
        <v>0.90334999999999999</v>
      </c>
      <c r="C149" s="20">
        <f t="shared" si="24"/>
        <v>-2.2350138695655959</v>
      </c>
      <c r="D149" s="71">
        <f t="shared" si="25"/>
        <v>0.48551511299596656</v>
      </c>
      <c r="E149" s="21" t="str">
        <f t="shared" si="26"/>
        <v>G7</v>
      </c>
      <c r="I149"/>
      <c r="J149"/>
      <c r="K149"/>
      <c r="L149"/>
      <c r="M149"/>
      <c r="N149"/>
      <c r="O149"/>
      <c r="P149"/>
      <c r="Q149"/>
      <c r="R149"/>
      <c r="S149"/>
    </row>
    <row r="150" spans="1:19" ht="15" x14ac:dyDescent="0.25">
      <c r="A150" s="20">
        <v>1160681</v>
      </c>
      <c r="B150" s="55">
        <v>0.43652000000000002</v>
      </c>
      <c r="C150" s="20">
        <f t="shared" si="24"/>
        <v>0.25529764714721703</v>
      </c>
      <c r="D150" s="71">
        <f t="shared" si="25"/>
        <v>7.2542977211185425E-2</v>
      </c>
      <c r="E150" s="21" t="str">
        <f t="shared" si="26"/>
        <v>G5</v>
      </c>
      <c r="I150"/>
      <c r="J150"/>
      <c r="K150"/>
      <c r="L150"/>
      <c r="M150"/>
      <c r="N150"/>
      <c r="O150"/>
      <c r="P150"/>
      <c r="Q150"/>
      <c r="R150"/>
      <c r="S150"/>
    </row>
    <row r="151" spans="1:19" ht="15" x14ac:dyDescent="0.25">
      <c r="A151" s="20">
        <v>1179824</v>
      </c>
      <c r="B151" s="55">
        <v>0.97604000000000002</v>
      </c>
      <c r="C151" s="20">
        <f t="shared" si="24"/>
        <v>-3.7071177959325969</v>
      </c>
      <c r="D151" s="71">
        <f t="shared" si="25"/>
        <v>0.80441939329048107</v>
      </c>
      <c r="E151" s="21" t="str">
        <f t="shared" si="26"/>
        <v>G7</v>
      </c>
      <c r="I151"/>
      <c r="J151"/>
      <c r="K151"/>
      <c r="L151"/>
      <c r="M151"/>
      <c r="N151"/>
      <c r="O151"/>
      <c r="P151"/>
      <c r="Q151"/>
      <c r="R151"/>
      <c r="S151"/>
    </row>
    <row r="152" spans="1:19" ht="15" x14ac:dyDescent="0.25">
      <c r="A152" s="20">
        <v>1186228</v>
      </c>
      <c r="B152" s="55">
        <v>2.3769999999999999E-2</v>
      </c>
      <c r="C152" s="20">
        <f t="shared" si="24"/>
        <v>3.7152739330162432</v>
      </c>
      <c r="D152" s="71">
        <f t="shared" si="25"/>
        <v>2.4523734879427195E-3</v>
      </c>
      <c r="E152" s="21" t="str">
        <f t="shared" si="26"/>
        <v>G1</v>
      </c>
      <c r="I152"/>
      <c r="J152"/>
      <c r="K152"/>
      <c r="L152"/>
      <c r="M152"/>
      <c r="N152"/>
      <c r="O152"/>
      <c r="P152"/>
      <c r="Q152"/>
      <c r="R152"/>
      <c r="S152"/>
    </row>
    <row r="153" spans="1:19" ht="15" x14ac:dyDescent="0.25">
      <c r="A153" s="20">
        <v>1195185</v>
      </c>
      <c r="B153" s="55">
        <v>0.14191000000000001</v>
      </c>
      <c r="C153" s="20">
        <f t="shared" si="24"/>
        <v>1.7995159352453043</v>
      </c>
      <c r="D153" s="71">
        <f t="shared" si="25"/>
        <v>1.6423445282288836E-2</v>
      </c>
      <c r="E153" s="21" t="str">
        <f t="shared" si="26"/>
        <v>G3</v>
      </c>
      <c r="I153"/>
      <c r="J153"/>
      <c r="K153"/>
      <c r="L153"/>
      <c r="M153"/>
      <c r="N153"/>
      <c r="O153"/>
      <c r="P153"/>
      <c r="Q153"/>
      <c r="R153"/>
      <c r="S153"/>
    </row>
    <row r="154" spans="1:19" ht="15" x14ac:dyDescent="0.25">
      <c r="A154" s="20">
        <v>1197263</v>
      </c>
      <c r="B154" s="55">
        <v>0.38020999999999999</v>
      </c>
      <c r="C154" s="20">
        <f t="shared" si="24"/>
        <v>0.48865697933185653</v>
      </c>
      <c r="D154" s="71">
        <f t="shared" si="25"/>
        <v>5.8325152296538799E-2</v>
      </c>
      <c r="E154" s="21" t="str">
        <f t="shared" si="26"/>
        <v>G5</v>
      </c>
      <c r="I154"/>
      <c r="J154"/>
      <c r="K154"/>
      <c r="L154"/>
      <c r="M154"/>
      <c r="N154"/>
      <c r="O154"/>
      <c r="P154"/>
      <c r="Q154"/>
      <c r="R154"/>
      <c r="S154"/>
    </row>
    <row r="155" spans="1:19" ht="15" x14ac:dyDescent="0.25">
      <c r="A155" s="20">
        <v>1209029</v>
      </c>
      <c r="B155" s="55">
        <v>2.768E-2</v>
      </c>
      <c r="C155" s="20">
        <f t="shared" si="24"/>
        <v>3.5589748376375763</v>
      </c>
      <c r="D155" s="71">
        <f t="shared" si="25"/>
        <v>2.8660667666649733E-3</v>
      </c>
      <c r="E155" s="21" t="str">
        <f t="shared" si="26"/>
        <v>G1</v>
      </c>
      <c r="I155"/>
      <c r="J155"/>
      <c r="K155"/>
      <c r="L155"/>
      <c r="M155"/>
      <c r="N155"/>
      <c r="O155"/>
      <c r="P155"/>
      <c r="Q155"/>
      <c r="R155"/>
      <c r="S155"/>
    </row>
    <row r="156" spans="1:19" ht="15" x14ac:dyDescent="0.25">
      <c r="A156" s="20">
        <v>1238140</v>
      </c>
      <c r="B156" s="55">
        <v>0.19267000000000001</v>
      </c>
      <c r="C156" s="20">
        <f t="shared" si="24"/>
        <v>1.4327536257245777</v>
      </c>
      <c r="D156" s="71">
        <f t="shared" si="25"/>
        <v>2.3528726343044013E-2</v>
      </c>
      <c r="E156" s="21" t="str">
        <f t="shared" si="26"/>
        <v>G3</v>
      </c>
      <c r="I156"/>
      <c r="J156"/>
      <c r="K156"/>
      <c r="L156"/>
      <c r="M156"/>
      <c r="N156"/>
      <c r="O156"/>
      <c r="P156"/>
      <c r="Q156"/>
      <c r="R156"/>
      <c r="S156"/>
    </row>
    <row r="157" spans="1:19" ht="15" x14ac:dyDescent="0.25">
      <c r="A157" s="20">
        <v>1250345</v>
      </c>
      <c r="B157" s="55">
        <v>0.22225</v>
      </c>
      <c r="C157" s="20">
        <f t="shared" si="24"/>
        <v>1.2526022613837324</v>
      </c>
      <c r="D157" s="71">
        <f t="shared" si="25"/>
        <v>2.8043016971669308E-2</v>
      </c>
      <c r="E157" s="21" t="str">
        <f t="shared" si="26"/>
        <v>G4</v>
      </c>
      <c r="I157"/>
      <c r="J157"/>
      <c r="K157"/>
      <c r="L157"/>
      <c r="M157"/>
      <c r="N157"/>
      <c r="O157"/>
      <c r="P157"/>
      <c r="Q157"/>
      <c r="R157"/>
      <c r="S157"/>
    </row>
    <row r="158" spans="1:19" ht="15" x14ac:dyDescent="0.25">
      <c r="A158" s="20">
        <v>1265504</v>
      </c>
      <c r="B158" s="55">
        <v>0.26235999999999998</v>
      </c>
      <c r="C158" s="20">
        <f t="shared" si="24"/>
        <v>1.0337382942813838</v>
      </c>
      <c r="D158" s="71">
        <f t="shared" si="25"/>
        <v>3.4666229142284885E-2</v>
      </c>
      <c r="E158" s="21" t="str">
        <f t="shared" si="26"/>
        <v>G4</v>
      </c>
      <c r="I158"/>
      <c r="J158"/>
      <c r="K158"/>
      <c r="L158"/>
      <c r="M158"/>
      <c r="N158"/>
      <c r="O158"/>
      <c r="P158"/>
      <c r="Q158"/>
      <c r="R158"/>
      <c r="S158"/>
    </row>
    <row r="159" spans="1:19" ht="15" x14ac:dyDescent="0.25">
      <c r="A159" s="20">
        <v>1270352</v>
      </c>
      <c r="B159" s="55">
        <v>0.24726999999999999</v>
      </c>
      <c r="C159" s="20">
        <f t="shared" si="24"/>
        <v>1.1132257407436936</v>
      </c>
      <c r="D159" s="71">
        <f t="shared" si="25"/>
        <v>3.2102403971677691E-2</v>
      </c>
      <c r="E159" s="21" t="str">
        <f t="shared" si="26"/>
        <v>G4</v>
      </c>
      <c r="I159"/>
      <c r="J159"/>
      <c r="K159"/>
      <c r="L159"/>
      <c r="M159"/>
      <c r="N159"/>
      <c r="O159"/>
      <c r="P159"/>
      <c r="Q159"/>
      <c r="R159"/>
      <c r="S159"/>
    </row>
    <row r="160" spans="1:19" ht="15" x14ac:dyDescent="0.25">
      <c r="A160" s="20">
        <v>1296828</v>
      </c>
      <c r="B160" s="55">
        <v>0.59677999999999998</v>
      </c>
      <c r="C160" s="20">
        <f t="shared" si="24"/>
        <v>-0.39206621756210086</v>
      </c>
      <c r="D160" s="71">
        <f t="shared" si="25"/>
        <v>0.13000625958666634</v>
      </c>
      <c r="E160" s="21" t="str">
        <f t="shared" si="26"/>
        <v>G6</v>
      </c>
      <c r="I160"/>
      <c r="J160"/>
      <c r="K160"/>
      <c r="L160"/>
      <c r="M160"/>
      <c r="N160"/>
      <c r="O160"/>
      <c r="P160"/>
      <c r="Q160"/>
      <c r="R160"/>
      <c r="S160"/>
    </row>
    <row r="161" spans="1:19" ht="15" x14ac:dyDescent="0.25">
      <c r="A161" s="20">
        <v>1314493</v>
      </c>
      <c r="B161" s="55">
        <v>0.51917999999999997</v>
      </c>
      <c r="C161" s="20">
        <f t="shared" si="24"/>
        <v>-7.6757664153079441E-2</v>
      </c>
      <c r="D161" s="71">
        <f t="shared" si="25"/>
        <v>9.8304066143795818E-2</v>
      </c>
      <c r="E161" s="21" t="str">
        <f t="shared" si="26"/>
        <v>G5</v>
      </c>
      <c r="I161"/>
      <c r="J161"/>
      <c r="K161"/>
      <c r="L161"/>
      <c r="M161"/>
      <c r="N161"/>
      <c r="O161"/>
      <c r="P161"/>
      <c r="Q161"/>
      <c r="R161"/>
      <c r="S161"/>
    </row>
    <row r="162" spans="1:19" ht="15" x14ac:dyDescent="0.25">
      <c r="A162" s="20">
        <v>1332355</v>
      </c>
      <c r="B162" s="55">
        <v>9.3539999999999998E-2</v>
      </c>
      <c r="C162" s="20">
        <f t="shared" si="24"/>
        <v>2.2711577511651844</v>
      </c>
      <c r="D162" s="71">
        <f t="shared" si="25"/>
        <v>1.0311531477195851E-2</v>
      </c>
      <c r="E162" s="21" t="str">
        <f t="shared" si="26"/>
        <v>G2</v>
      </c>
      <c r="I162"/>
      <c r="J162"/>
      <c r="K162"/>
      <c r="L162"/>
      <c r="M162"/>
      <c r="N162"/>
      <c r="O162"/>
      <c r="P162"/>
      <c r="Q162"/>
      <c r="R162"/>
      <c r="S162"/>
    </row>
    <row r="163" spans="1:19" ht="15" x14ac:dyDescent="0.25">
      <c r="A163" s="20">
        <v>1333117</v>
      </c>
      <c r="B163" s="55">
        <v>1.0959999999999999E-2</v>
      </c>
      <c r="C163" s="20">
        <f t="shared" si="24"/>
        <v>4.5024824941788024</v>
      </c>
      <c r="D163" s="71">
        <f t="shared" si="25"/>
        <v>1.1176015590606148E-3</v>
      </c>
      <c r="E163" s="21" t="str">
        <f t="shared" si="26"/>
        <v>G1</v>
      </c>
      <c r="I163"/>
      <c r="J163"/>
      <c r="K163"/>
      <c r="L163"/>
      <c r="M163"/>
      <c r="N163"/>
      <c r="O163"/>
      <c r="P163"/>
      <c r="Q163"/>
      <c r="R163"/>
      <c r="S163"/>
    </row>
    <row r="164" spans="1:19" ht="15" x14ac:dyDescent="0.25">
      <c r="A164" s="20">
        <v>1351511</v>
      </c>
      <c r="B164" s="55">
        <v>0.96211999999999998</v>
      </c>
      <c r="C164" s="20">
        <f t="shared" si="24"/>
        <v>-3.2347159146931661</v>
      </c>
      <c r="D164" s="71">
        <f t="shared" si="25"/>
        <v>0.7194522629196376</v>
      </c>
      <c r="E164" s="21" t="str">
        <f t="shared" si="26"/>
        <v>G7</v>
      </c>
      <c r="I164"/>
      <c r="J164"/>
      <c r="K164"/>
      <c r="L164"/>
      <c r="M164"/>
      <c r="N164"/>
      <c r="O164"/>
      <c r="P164"/>
      <c r="Q164"/>
      <c r="R164"/>
      <c r="S164"/>
    </row>
    <row r="165" spans="1:19" ht="15" x14ac:dyDescent="0.25">
      <c r="A165" s="20">
        <v>1354935</v>
      </c>
      <c r="B165" s="55">
        <v>2.503E-2</v>
      </c>
      <c r="C165" s="20">
        <f t="shared" si="24"/>
        <v>3.6623315958500129</v>
      </c>
      <c r="D165" s="71">
        <f t="shared" si="25"/>
        <v>2.5853614898785401E-3</v>
      </c>
      <c r="E165" s="21" t="str">
        <f t="shared" si="26"/>
        <v>G1</v>
      </c>
      <c r="I165"/>
      <c r="J165"/>
      <c r="K165"/>
      <c r="L165"/>
      <c r="M165"/>
      <c r="N165"/>
      <c r="O165"/>
      <c r="P165"/>
      <c r="Q165"/>
      <c r="R165"/>
      <c r="S165"/>
    </row>
    <row r="166" spans="1:19" ht="15" x14ac:dyDescent="0.25">
      <c r="A166" s="20">
        <v>1363323</v>
      </c>
      <c r="B166" s="55">
        <v>0.30137999999999998</v>
      </c>
      <c r="C166" s="20">
        <f t="shared" si="24"/>
        <v>0.8407350336588737</v>
      </c>
      <c r="D166" s="71">
        <f t="shared" si="25"/>
        <v>4.1738182950777622E-2</v>
      </c>
      <c r="E166" s="21" t="str">
        <f t="shared" si="26"/>
        <v>G4</v>
      </c>
      <c r="I166"/>
      <c r="J166"/>
      <c r="K166"/>
      <c r="L166"/>
      <c r="M166"/>
      <c r="N166"/>
      <c r="O166"/>
      <c r="P166"/>
      <c r="Q166"/>
      <c r="R166"/>
      <c r="S166"/>
    </row>
    <row r="167" spans="1:19" ht="15" x14ac:dyDescent="0.25">
      <c r="A167" s="20">
        <v>1363402</v>
      </c>
      <c r="B167" s="55">
        <v>2.0830000000000001E-2</v>
      </c>
      <c r="C167" s="20">
        <f t="shared" si="24"/>
        <v>3.8503110187609488</v>
      </c>
      <c r="D167" s="71">
        <f t="shared" si="25"/>
        <v>2.1432622059943747E-3</v>
      </c>
      <c r="E167" s="21" t="str">
        <f t="shared" si="26"/>
        <v>G1</v>
      </c>
      <c r="I167"/>
      <c r="J167"/>
      <c r="K167"/>
      <c r="L167"/>
      <c r="M167"/>
      <c r="N167"/>
      <c r="O167"/>
      <c r="P167"/>
      <c r="Q167"/>
      <c r="R167"/>
      <c r="S167"/>
    </row>
    <row r="168" spans="1:19" ht="15" x14ac:dyDescent="0.25">
      <c r="A168" s="20">
        <v>1363528</v>
      </c>
      <c r="B168" s="55">
        <v>3.3270000000000001E-2</v>
      </c>
      <c r="C168" s="20">
        <f t="shared" si="24"/>
        <v>3.369263152371289</v>
      </c>
      <c r="D168" s="71">
        <f t="shared" si="25"/>
        <v>3.4627177771246512E-3</v>
      </c>
      <c r="E168" s="21" t="str">
        <f t="shared" si="26"/>
        <v>G1</v>
      </c>
      <c r="I168"/>
      <c r="J168"/>
      <c r="K168"/>
      <c r="L168"/>
      <c r="M168"/>
      <c r="N168"/>
      <c r="O168"/>
      <c r="P168"/>
      <c r="Q168"/>
      <c r="R168"/>
      <c r="S168"/>
    </row>
    <row r="169" spans="1:19" ht="15" x14ac:dyDescent="0.25">
      <c r="A169" s="20">
        <v>1383785</v>
      </c>
      <c r="B169" s="55">
        <v>0.32069999999999999</v>
      </c>
      <c r="C169" s="20">
        <f t="shared" si="24"/>
        <v>0.75055674949814721</v>
      </c>
      <c r="D169" s="71">
        <f t="shared" si="25"/>
        <v>4.5497782242504003E-2</v>
      </c>
      <c r="E169" s="21" t="str">
        <f t="shared" si="26"/>
        <v>G4</v>
      </c>
      <c r="I169"/>
      <c r="J169"/>
      <c r="K169"/>
      <c r="L169"/>
      <c r="M169"/>
      <c r="N169"/>
      <c r="O169"/>
      <c r="P169"/>
      <c r="Q169"/>
      <c r="R169"/>
      <c r="S169"/>
    </row>
    <row r="170" spans="1:19" ht="15" x14ac:dyDescent="0.25">
      <c r="A170" s="20">
        <v>1393154</v>
      </c>
      <c r="B170" s="55">
        <v>0.35244999999999999</v>
      </c>
      <c r="C170" s="20">
        <f t="shared" si="24"/>
        <v>0.60828724244971177</v>
      </c>
      <c r="D170" s="71">
        <f t="shared" si="25"/>
        <v>5.2091466137016471E-2</v>
      </c>
      <c r="E170" s="21" t="str">
        <f t="shared" si="26"/>
        <v>G4</v>
      </c>
      <c r="I170"/>
      <c r="J170"/>
      <c r="K170"/>
      <c r="L170"/>
      <c r="M170"/>
      <c r="N170"/>
      <c r="O170"/>
      <c r="P170"/>
      <c r="Q170"/>
      <c r="R170"/>
      <c r="S170"/>
    </row>
    <row r="171" spans="1:19" ht="15" x14ac:dyDescent="0.25">
      <c r="A171" s="20">
        <v>1393247</v>
      </c>
      <c r="B171" s="55">
        <v>0.27162999999999998</v>
      </c>
      <c r="C171" s="20">
        <f t="shared" si="24"/>
        <v>0.9863683147054092</v>
      </c>
      <c r="D171" s="71">
        <f t="shared" si="25"/>
        <v>3.6286861274486534E-2</v>
      </c>
      <c r="E171" s="21" t="str">
        <f t="shared" si="26"/>
        <v>G4</v>
      </c>
      <c r="I171"/>
      <c r="J171"/>
      <c r="K171"/>
      <c r="L171"/>
      <c r="M171"/>
      <c r="N171"/>
      <c r="O171"/>
      <c r="P171"/>
      <c r="Q171"/>
      <c r="R171"/>
      <c r="S171"/>
    </row>
    <row r="172" spans="1:19" ht="15" x14ac:dyDescent="0.25">
      <c r="A172" s="20">
        <v>1393818</v>
      </c>
      <c r="B172" s="55">
        <v>1.401E-2</v>
      </c>
      <c r="C172" s="20">
        <f t="shared" si="24"/>
        <v>4.2538748522144596</v>
      </c>
      <c r="D172" s="71">
        <f t="shared" si="25"/>
        <v>1.432580244447921E-3</v>
      </c>
      <c r="E172" s="21" t="str">
        <f t="shared" si="26"/>
        <v>G1</v>
      </c>
      <c r="I172"/>
      <c r="J172"/>
      <c r="K172"/>
      <c r="L172"/>
      <c r="M172"/>
      <c r="N172"/>
      <c r="O172"/>
      <c r="P172"/>
      <c r="Q172"/>
      <c r="R172"/>
      <c r="S172"/>
    </row>
    <row r="173" spans="1:19" ht="15" x14ac:dyDescent="0.25">
      <c r="A173" s="20">
        <v>1402766</v>
      </c>
      <c r="B173" s="55">
        <v>0.97463999999999995</v>
      </c>
      <c r="C173" s="20">
        <f t="shared" si="24"/>
        <v>-3.6488950424771249</v>
      </c>
      <c r="D173" s="71">
        <f t="shared" si="25"/>
        <v>0.7950966716909651</v>
      </c>
      <c r="E173" s="21" t="str">
        <f t="shared" si="26"/>
        <v>G7</v>
      </c>
      <c r="I173"/>
      <c r="J173"/>
      <c r="K173"/>
      <c r="L173"/>
      <c r="M173"/>
      <c r="N173"/>
      <c r="O173"/>
      <c r="P173"/>
      <c r="Q173"/>
      <c r="R173"/>
      <c r="S173"/>
    </row>
    <row r="174" spans="1:19" ht="15" x14ac:dyDescent="0.25">
      <c r="A174" s="20">
        <v>1433690</v>
      </c>
      <c r="B174" s="55">
        <v>0.38671</v>
      </c>
      <c r="C174" s="20">
        <f t="shared" si="24"/>
        <v>0.4611628491464656</v>
      </c>
      <c r="D174" s="71">
        <f t="shared" si="25"/>
        <v>5.9853686871788624E-2</v>
      </c>
      <c r="E174" s="21" t="str">
        <f t="shared" si="26"/>
        <v>G5</v>
      </c>
      <c r="I174"/>
      <c r="J174"/>
      <c r="K174"/>
      <c r="L174"/>
      <c r="M174"/>
      <c r="N174"/>
      <c r="O174"/>
      <c r="P174"/>
      <c r="Q174"/>
      <c r="R174"/>
      <c r="S174"/>
    </row>
    <row r="175" spans="1:19" ht="15" x14ac:dyDescent="0.25">
      <c r="A175" s="20">
        <v>1441402</v>
      </c>
      <c r="B175" s="55">
        <v>0.19377</v>
      </c>
      <c r="C175" s="20">
        <f t="shared" si="24"/>
        <v>1.4256971728882619</v>
      </c>
      <c r="D175" s="71">
        <f t="shared" si="25"/>
        <v>2.3691395482409637E-2</v>
      </c>
      <c r="E175" s="21" t="str">
        <f t="shared" si="26"/>
        <v>G3</v>
      </c>
      <c r="I175"/>
      <c r="J175"/>
      <c r="K175"/>
      <c r="L175"/>
      <c r="M175"/>
      <c r="N175"/>
      <c r="O175"/>
      <c r="P175"/>
      <c r="Q175"/>
      <c r="R175"/>
      <c r="S175"/>
    </row>
    <row r="176" spans="1:19" ht="15" x14ac:dyDescent="0.25">
      <c r="A176" s="20">
        <v>1470346</v>
      </c>
      <c r="B176" s="55">
        <v>9.801E-2</v>
      </c>
      <c r="C176" s="20">
        <f t="shared" si="24"/>
        <v>2.2195339192455785</v>
      </c>
      <c r="D176" s="71">
        <f t="shared" si="25"/>
        <v>1.0851903587649312E-2</v>
      </c>
      <c r="E176" s="21" t="str">
        <f t="shared" si="26"/>
        <v>G2</v>
      </c>
      <c r="I176"/>
      <c r="J176"/>
      <c r="K176"/>
      <c r="L176"/>
      <c r="M176"/>
      <c r="N176"/>
      <c r="O176"/>
      <c r="P176"/>
      <c r="Q176"/>
      <c r="R176"/>
      <c r="S176"/>
    </row>
    <row r="177" spans="1:19" ht="15" x14ac:dyDescent="0.25">
      <c r="A177" s="20">
        <v>1499105</v>
      </c>
      <c r="B177" s="55">
        <v>5.0209999999999998E-2</v>
      </c>
      <c r="C177" s="20">
        <f t="shared" si="24"/>
        <v>2.9400266974806595</v>
      </c>
      <c r="D177" s="71">
        <f t="shared" si="25"/>
        <v>5.3091706299976784E-3</v>
      </c>
      <c r="E177" s="21" t="str">
        <f t="shared" si="26"/>
        <v>G2</v>
      </c>
      <c r="I177"/>
      <c r="J177"/>
      <c r="K177"/>
      <c r="L177"/>
      <c r="M177"/>
      <c r="N177"/>
      <c r="O177"/>
      <c r="P177"/>
      <c r="Q177"/>
      <c r="R177"/>
      <c r="S177"/>
    </row>
    <row r="178" spans="1:19" ht="15" x14ac:dyDescent="0.25">
      <c r="A178" s="20">
        <v>1555197</v>
      </c>
      <c r="B178" s="55">
        <v>3.9699999999999999E-2</v>
      </c>
      <c r="C178" s="20">
        <f t="shared" si="24"/>
        <v>3.1858945479507823</v>
      </c>
      <c r="D178" s="71">
        <f t="shared" si="25"/>
        <v>4.1567175652865865E-3</v>
      </c>
      <c r="E178" s="21" t="str">
        <f t="shared" si="26"/>
        <v>G1</v>
      </c>
      <c r="I178"/>
      <c r="J178"/>
      <c r="K178"/>
      <c r="L178"/>
      <c r="M178"/>
      <c r="N178"/>
      <c r="O178"/>
      <c r="P178"/>
      <c r="Q178"/>
      <c r="R178"/>
      <c r="S178"/>
    </row>
    <row r="179" spans="1:19" ht="15" x14ac:dyDescent="0.25">
      <c r="A179" s="20">
        <v>1572977</v>
      </c>
      <c r="B179" s="55">
        <v>0.28033000000000002</v>
      </c>
      <c r="C179" s="20">
        <f t="shared" si="24"/>
        <v>0.94282529298221673</v>
      </c>
      <c r="D179" s="71">
        <f t="shared" si="25"/>
        <v>3.7840694875102436E-2</v>
      </c>
      <c r="E179" s="21" t="str">
        <f t="shared" si="26"/>
        <v>G4</v>
      </c>
      <c r="I179"/>
      <c r="J179"/>
      <c r="K179"/>
      <c r="L179"/>
      <c r="M179"/>
      <c r="N179"/>
      <c r="O179"/>
      <c r="P179"/>
      <c r="Q179"/>
      <c r="R179"/>
      <c r="S179"/>
    </row>
    <row r="180" spans="1:19" ht="15" x14ac:dyDescent="0.25">
      <c r="A180" s="20">
        <v>1574041</v>
      </c>
      <c r="B180" s="55">
        <v>0.25289</v>
      </c>
      <c r="C180" s="20">
        <f t="shared" si="24"/>
        <v>1.0832578184077262</v>
      </c>
      <c r="D180" s="71">
        <f t="shared" si="25"/>
        <v>3.3046733082455239E-2</v>
      </c>
      <c r="E180" s="21" t="str">
        <f t="shared" si="26"/>
        <v>G4</v>
      </c>
      <c r="I180"/>
      <c r="J180"/>
      <c r="K180"/>
      <c r="L180"/>
      <c r="M180"/>
      <c r="N180"/>
      <c r="O180"/>
      <c r="P180"/>
      <c r="Q180"/>
      <c r="R180"/>
      <c r="S180"/>
    </row>
    <row r="181" spans="1:19" ht="15" x14ac:dyDescent="0.25">
      <c r="A181" s="20">
        <v>1574171</v>
      </c>
      <c r="B181" s="55">
        <v>4.2450000000000002E-2</v>
      </c>
      <c r="C181" s="20">
        <f t="shared" si="24"/>
        <v>3.1160510262552124</v>
      </c>
      <c r="D181" s="71">
        <f t="shared" si="25"/>
        <v>4.456076117106046E-3</v>
      </c>
      <c r="E181" s="21" t="str">
        <f t="shared" si="26"/>
        <v>G1</v>
      </c>
      <c r="I181"/>
      <c r="J181"/>
      <c r="K181"/>
      <c r="L181"/>
      <c r="M181"/>
      <c r="N181"/>
      <c r="O181"/>
      <c r="P181"/>
      <c r="Q181"/>
      <c r="R181"/>
      <c r="S181"/>
    </row>
    <row r="182" spans="1:19" ht="15" x14ac:dyDescent="0.25">
      <c r="A182" s="20">
        <v>1590371</v>
      </c>
      <c r="B182" s="55">
        <v>5.6390000000000003E-2</v>
      </c>
      <c r="C182" s="20">
        <f t="shared" si="24"/>
        <v>2.8174211073691682</v>
      </c>
      <c r="D182" s="71">
        <f t="shared" si="25"/>
        <v>5.9975373452168636E-3</v>
      </c>
      <c r="E182" s="21" t="str">
        <f t="shared" si="26"/>
        <v>G2</v>
      </c>
      <c r="I182"/>
      <c r="J182"/>
      <c r="K182"/>
      <c r="L182"/>
      <c r="M182"/>
      <c r="N182"/>
      <c r="O182"/>
      <c r="P182"/>
      <c r="Q182"/>
      <c r="R182"/>
      <c r="S182"/>
    </row>
    <row r="183" spans="1:19" ht="15" x14ac:dyDescent="0.25">
      <c r="A183" s="20">
        <v>1612243</v>
      </c>
      <c r="B183" s="55">
        <v>0.15797</v>
      </c>
      <c r="C183" s="20">
        <f t="shared" si="24"/>
        <v>1.6734105014802887</v>
      </c>
      <c r="D183" s="71">
        <f t="shared" si="25"/>
        <v>1.8589751432844571E-2</v>
      </c>
      <c r="E183" s="21" t="str">
        <f t="shared" si="26"/>
        <v>G3</v>
      </c>
      <c r="I183"/>
      <c r="J183"/>
      <c r="K183"/>
      <c r="L183"/>
      <c r="M183"/>
      <c r="N183"/>
      <c r="O183"/>
      <c r="P183"/>
      <c r="Q183"/>
      <c r="R183"/>
      <c r="S183"/>
    </row>
    <row r="184" spans="1:19" ht="15" x14ac:dyDescent="0.25">
      <c r="A184" s="20">
        <v>1632114</v>
      </c>
      <c r="B184" s="55">
        <v>0.30103000000000002</v>
      </c>
      <c r="C184" s="20">
        <f t="shared" si="24"/>
        <v>0.84239789530139175</v>
      </c>
      <c r="D184" s="71">
        <f t="shared" si="25"/>
        <v>4.1671725616069764E-2</v>
      </c>
      <c r="E184" s="21" t="str">
        <f t="shared" si="26"/>
        <v>G4</v>
      </c>
      <c r="I184"/>
      <c r="J184"/>
      <c r="K184"/>
      <c r="L184"/>
      <c r="M184"/>
      <c r="N184"/>
      <c r="O184"/>
      <c r="P184"/>
      <c r="Q184"/>
      <c r="R184"/>
      <c r="S184"/>
    </row>
    <row r="185" spans="1:19" ht="15" x14ac:dyDescent="0.25">
      <c r="A185" s="20">
        <v>1672218</v>
      </c>
      <c r="B185" s="55">
        <v>0.3604</v>
      </c>
      <c r="C185" s="20">
        <f t="shared" si="24"/>
        <v>0.57362845522561623</v>
      </c>
      <c r="D185" s="71">
        <f t="shared" si="25"/>
        <v>5.3829655435206118E-2</v>
      </c>
      <c r="E185" s="21" t="str">
        <f t="shared" si="26"/>
        <v>G4</v>
      </c>
      <c r="I185"/>
      <c r="J185"/>
      <c r="K185"/>
      <c r="L185"/>
      <c r="M185"/>
      <c r="N185"/>
      <c r="O185"/>
      <c r="P185"/>
      <c r="Q185"/>
      <c r="R185"/>
      <c r="S185"/>
    </row>
    <row r="186" spans="1:19" ht="15" x14ac:dyDescent="0.25">
      <c r="A186" s="20">
        <v>1703264</v>
      </c>
      <c r="B186" s="55">
        <v>0.21582999999999999</v>
      </c>
      <c r="C186" s="20">
        <f t="shared" si="24"/>
        <v>1.2901347728085359</v>
      </c>
      <c r="D186" s="71">
        <f t="shared" si="25"/>
        <v>2.7037929915943948E-2</v>
      </c>
      <c r="E186" s="21" t="str">
        <f t="shared" si="26"/>
        <v>G4</v>
      </c>
      <c r="I186"/>
      <c r="J186"/>
      <c r="K186"/>
      <c r="L186"/>
      <c r="M186"/>
      <c r="N186"/>
      <c r="O186"/>
      <c r="P186"/>
      <c r="Q186"/>
      <c r="R186"/>
      <c r="S186"/>
    </row>
    <row r="187" spans="1:19" ht="15" x14ac:dyDescent="0.25">
      <c r="A187" s="20">
        <v>1724227</v>
      </c>
      <c r="B187" s="55">
        <v>1.695E-2</v>
      </c>
      <c r="C187" s="20">
        <f t="shared" si="24"/>
        <v>4.0603921497270408</v>
      </c>
      <c r="D187" s="71">
        <f t="shared" si="25"/>
        <v>1.7378593960855812E-3</v>
      </c>
      <c r="E187" s="21" t="str">
        <f t="shared" si="26"/>
        <v>G1</v>
      </c>
      <c r="I187"/>
      <c r="J187"/>
      <c r="K187"/>
      <c r="L187"/>
      <c r="M187"/>
      <c r="N187"/>
      <c r="O187"/>
      <c r="P187"/>
      <c r="Q187"/>
      <c r="R187"/>
      <c r="S187"/>
    </row>
    <row r="188" spans="1:19" ht="15" x14ac:dyDescent="0.25">
      <c r="A188" s="20">
        <v>1751949</v>
      </c>
      <c r="B188" s="55">
        <v>0.60577000000000003</v>
      </c>
      <c r="C188" s="20">
        <f t="shared" si="24"/>
        <v>-0.42956588074910446</v>
      </c>
      <c r="D188" s="71">
        <f t="shared" si="25"/>
        <v>0.13430680983300031</v>
      </c>
      <c r="E188" s="21" t="str">
        <f t="shared" si="26"/>
        <v>G6</v>
      </c>
      <c r="I188"/>
      <c r="J188"/>
      <c r="K188"/>
      <c r="L188"/>
      <c r="M188"/>
      <c r="N188"/>
      <c r="O188"/>
      <c r="P188"/>
      <c r="Q188"/>
      <c r="R188"/>
      <c r="S188"/>
    </row>
    <row r="189" spans="1:19" ht="15" x14ac:dyDescent="0.25">
      <c r="A189" s="20">
        <v>1764608</v>
      </c>
      <c r="B189" s="55">
        <v>7.0709999999999995E-2</v>
      </c>
      <c r="C189" s="20">
        <f t="shared" si="24"/>
        <v>2.5758338481015568</v>
      </c>
      <c r="D189" s="71">
        <f t="shared" si="25"/>
        <v>7.6239804723533307E-3</v>
      </c>
      <c r="E189" s="21" t="str">
        <f t="shared" si="26"/>
        <v>G2</v>
      </c>
      <c r="I189"/>
      <c r="J189"/>
      <c r="K189"/>
      <c r="L189"/>
      <c r="M189"/>
      <c r="N189"/>
      <c r="O189"/>
      <c r="P189"/>
      <c r="Q189"/>
      <c r="R189"/>
      <c r="S189"/>
    </row>
    <row r="190" spans="1:19" ht="15" x14ac:dyDescent="0.25">
      <c r="A190" s="20">
        <v>1769881</v>
      </c>
      <c r="B190" s="55">
        <v>0.62278</v>
      </c>
      <c r="C190" s="20">
        <f t="shared" si="24"/>
        <v>-0.50136475478329057</v>
      </c>
      <c r="D190" s="71">
        <f t="shared" si="25"/>
        <v>0.14287607325533447</v>
      </c>
      <c r="E190" s="21" t="str">
        <f t="shared" si="26"/>
        <v>G6</v>
      </c>
      <c r="I190"/>
      <c r="J190"/>
      <c r="K190"/>
      <c r="L190"/>
      <c r="M190"/>
      <c r="N190"/>
      <c r="O190"/>
      <c r="P190"/>
      <c r="Q190"/>
      <c r="R190"/>
      <c r="S190"/>
    </row>
    <row r="191" spans="1:19" ht="15" x14ac:dyDescent="0.25">
      <c r="A191" s="20">
        <v>1799463</v>
      </c>
      <c r="B191" s="55">
        <v>8.6110000000000006E-2</v>
      </c>
      <c r="C191" s="20">
        <f t="shared" ref="C191:C249" si="27">LN((1-B191)/B191)</f>
        <v>2.3620846653940113</v>
      </c>
      <c r="D191" s="71">
        <f t="shared" ref="D191:D249" si="28">1/(1+$B$45*EXP(C191))</f>
        <v>9.4237448309249048E-3</v>
      </c>
      <c r="E191" s="21" t="str">
        <f t="shared" ref="E191:E249" si="29">VLOOKUP(B191,$I$61:$K$67,3,TRUE)</f>
        <v>G2</v>
      </c>
      <c r="I191"/>
      <c r="J191"/>
      <c r="K191"/>
      <c r="L191"/>
      <c r="M191"/>
      <c r="N191"/>
      <c r="O191"/>
      <c r="P191"/>
      <c r="Q191"/>
      <c r="R191"/>
      <c r="S191"/>
    </row>
    <row r="192" spans="1:19" ht="15" x14ac:dyDescent="0.25">
      <c r="A192" s="20">
        <v>1810369</v>
      </c>
      <c r="B192" s="55">
        <v>0.79162999999999994</v>
      </c>
      <c r="C192" s="20">
        <f t="shared" si="27"/>
        <v>-1.3347787653564398</v>
      </c>
      <c r="D192" s="71">
        <f t="shared" si="28"/>
        <v>0.27724055922637847</v>
      </c>
      <c r="E192" s="21" t="str">
        <f t="shared" si="29"/>
        <v>G7</v>
      </c>
      <c r="I192"/>
      <c r="J192"/>
      <c r="K192"/>
      <c r="L192"/>
      <c r="M192"/>
      <c r="N192"/>
      <c r="O192"/>
      <c r="P192"/>
      <c r="Q192"/>
      <c r="R192"/>
      <c r="S192"/>
    </row>
    <row r="193" spans="1:19" ht="15" x14ac:dyDescent="0.25">
      <c r="A193" s="20">
        <v>1824718</v>
      </c>
      <c r="B193" s="55">
        <v>0.17773</v>
      </c>
      <c r="C193" s="20">
        <f t="shared" si="27"/>
        <v>1.5318032635040388</v>
      </c>
      <c r="D193" s="71">
        <f t="shared" si="28"/>
        <v>2.1357302346345829E-2</v>
      </c>
      <c r="E193" s="21" t="str">
        <f t="shared" si="29"/>
        <v>G3</v>
      </c>
      <c r="I193"/>
      <c r="J193"/>
      <c r="K193"/>
      <c r="L193"/>
      <c r="M193"/>
      <c r="N193"/>
      <c r="O193"/>
      <c r="P193"/>
      <c r="Q193"/>
      <c r="R193"/>
      <c r="S193"/>
    </row>
    <row r="194" spans="1:19" ht="15" x14ac:dyDescent="0.25">
      <c r="A194" s="20">
        <v>1830937</v>
      </c>
      <c r="B194" s="55">
        <v>0.74602000000000002</v>
      </c>
      <c r="C194" s="20">
        <f t="shared" si="27"/>
        <v>-1.0774968857349758</v>
      </c>
      <c r="D194" s="71">
        <f t="shared" si="28"/>
        <v>0.22873414388983268</v>
      </c>
      <c r="E194" s="21" t="str">
        <f t="shared" si="29"/>
        <v>G6</v>
      </c>
      <c r="I194"/>
      <c r="J194"/>
      <c r="K194"/>
      <c r="L194"/>
      <c r="M194"/>
      <c r="N194"/>
      <c r="O194"/>
      <c r="P194"/>
      <c r="Q194"/>
      <c r="R194"/>
      <c r="S194"/>
    </row>
    <row r="195" spans="1:19" ht="15" x14ac:dyDescent="0.25">
      <c r="A195" s="20">
        <v>1838667</v>
      </c>
      <c r="B195" s="55">
        <v>6.0220000000000003E-2</v>
      </c>
      <c r="C195" s="20">
        <f t="shared" si="27"/>
        <v>2.7476412822650378</v>
      </c>
      <c r="D195" s="71">
        <f t="shared" si="28"/>
        <v>6.4282054371917526E-3</v>
      </c>
      <c r="E195" s="21" t="str">
        <f t="shared" si="29"/>
        <v>G2</v>
      </c>
      <c r="I195"/>
      <c r="J195"/>
      <c r="K195"/>
      <c r="L195"/>
      <c r="M195"/>
      <c r="N195"/>
      <c r="O195"/>
      <c r="P195"/>
      <c r="Q195"/>
      <c r="R195"/>
      <c r="S195"/>
    </row>
    <row r="196" spans="1:19" ht="15" x14ac:dyDescent="0.25">
      <c r="A196" s="20">
        <v>1847420</v>
      </c>
      <c r="B196" s="55">
        <v>7.9689999999999997E-2</v>
      </c>
      <c r="C196" s="20">
        <f t="shared" si="27"/>
        <v>2.446566462398069</v>
      </c>
      <c r="D196" s="71">
        <f>1/(1+$B$45*EXP(C196))</f>
        <v>8.6669286469321545E-3</v>
      </c>
      <c r="E196" s="21" t="str">
        <f t="shared" si="29"/>
        <v>G2</v>
      </c>
      <c r="I196"/>
      <c r="J196"/>
      <c r="K196"/>
      <c r="L196"/>
      <c r="M196"/>
      <c r="N196"/>
      <c r="O196"/>
      <c r="P196"/>
      <c r="Q196"/>
      <c r="R196"/>
      <c r="S196"/>
    </row>
    <row r="197" spans="1:19" ht="15" x14ac:dyDescent="0.25">
      <c r="A197" s="20">
        <v>1847488</v>
      </c>
      <c r="B197" s="55">
        <v>5.1130000000000002E-2</v>
      </c>
      <c r="C197" s="20">
        <f t="shared" si="27"/>
        <v>2.9209003938331697</v>
      </c>
      <c r="D197" s="71">
        <f t="shared" si="28"/>
        <v>5.4111379875100918E-3</v>
      </c>
      <c r="E197" s="21" t="str">
        <f t="shared" si="29"/>
        <v>G2</v>
      </c>
      <c r="I197"/>
      <c r="J197"/>
      <c r="K197"/>
      <c r="L197"/>
      <c r="M197"/>
      <c r="N197"/>
      <c r="O197"/>
      <c r="P197"/>
      <c r="Q197"/>
      <c r="R197"/>
      <c r="S197"/>
    </row>
    <row r="198" spans="1:19" ht="15" x14ac:dyDescent="0.25">
      <c r="A198" s="20">
        <v>1857744</v>
      </c>
      <c r="B198" s="55">
        <v>0.20956</v>
      </c>
      <c r="C198" s="20">
        <f t="shared" si="27"/>
        <v>1.327579657900583</v>
      </c>
      <c r="D198" s="71">
        <f t="shared" si="28"/>
        <v>2.6070124726248464E-2</v>
      </c>
      <c r="E198" s="21" t="str">
        <f t="shared" si="29"/>
        <v>G4</v>
      </c>
      <c r="I198"/>
      <c r="J198"/>
      <c r="K198"/>
      <c r="L198"/>
      <c r="M198"/>
      <c r="N198"/>
      <c r="O198"/>
      <c r="P198"/>
      <c r="Q198"/>
      <c r="R198"/>
      <c r="S198"/>
    </row>
    <row r="199" spans="1:19" ht="15" x14ac:dyDescent="0.25">
      <c r="A199" s="20">
        <v>1860687</v>
      </c>
      <c r="B199" s="55">
        <v>0.17283000000000001</v>
      </c>
      <c r="C199" s="20">
        <f t="shared" si="27"/>
        <v>1.5657017837595375</v>
      </c>
      <c r="D199" s="71">
        <f t="shared" si="28"/>
        <v>2.0660161737431054E-2</v>
      </c>
      <c r="E199" s="21" t="str">
        <f t="shared" si="29"/>
        <v>G3</v>
      </c>
      <c r="I199"/>
      <c r="J199"/>
      <c r="K199"/>
      <c r="L199"/>
      <c r="M199"/>
      <c r="N199"/>
      <c r="O199"/>
      <c r="P199"/>
      <c r="Q199"/>
      <c r="R199"/>
      <c r="S199"/>
    </row>
    <row r="200" spans="1:19" ht="15" x14ac:dyDescent="0.25">
      <c r="A200" s="20">
        <v>1860919</v>
      </c>
      <c r="B200" s="55">
        <v>1.1390000000000001E-2</v>
      </c>
      <c r="C200" s="20">
        <f t="shared" si="27"/>
        <v>4.4635641386771949</v>
      </c>
      <c r="D200" s="71">
        <f t="shared" si="28"/>
        <v>1.1619027090454435E-3</v>
      </c>
      <c r="E200" s="21" t="str">
        <f t="shared" si="29"/>
        <v>G1</v>
      </c>
      <c r="I200"/>
      <c r="J200"/>
      <c r="K200"/>
      <c r="L200"/>
      <c r="M200"/>
      <c r="N200"/>
      <c r="O200"/>
      <c r="P200"/>
      <c r="Q200"/>
      <c r="R200"/>
      <c r="S200"/>
    </row>
    <row r="201" spans="1:19" ht="15" x14ac:dyDescent="0.25">
      <c r="A201" s="20">
        <v>1870245</v>
      </c>
      <c r="B201" s="55">
        <v>0.33411000000000002</v>
      </c>
      <c r="C201" s="20">
        <f t="shared" si="27"/>
        <v>0.6896542116608374</v>
      </c>
      <c r="D201" s="71">
        <f t="shared" si="28"/>
        <v>4.8217071853708215E-2</v>
      </c>
      <c r="E201" s="21" t="str">
        <f t="shared" si="29"/>
        <v>G4</v>
      </c>
      <c r="I201"/>
      <c r="J201"/>
      <c r="K201"/>
      <c r="L201"/>
      <c r="M201"/>
      <c r="N201"/>
      <c r="O201"/>
      <c r="P201"/>
      <c r="Q201"/>
      <c r="R201"/>
      <c r="S201"/>
    </row>
    <row r="202" spans="1:19" ht="15" x14ac:dyDescent="0.25">
      <c r="A202" s="20">
        <v>1872913</v>
      </c>
      <c r="B202" s="55">
        <v>7.596E-2</v>
      </c>
      <c r="C202" s="20">
        <f t="shared" si="27"/>
        <v>2.498548474803902</v>
      </c>
      <c r="D202" s="71">
        <f t="shared" si="28"/>
        <v>8.2315273151975579E-3</v>
      </c>
      <c r="E202" s="21" t="str">
        <f t="shared" si="29"/>
        <v>G2</v>
      </c>
      <c r="I202"/>
      <c r="J202"/>
      <c r="K202"/>
      <c r="L202"/>
      <c r="M202"/>
      <c r="N202"/>
      <c r="O202"/>
      <c r="P202"/>
      <c r="Q202"/>
      <c r="R202"/>
      <c r="S202"/>
    </row>
    <row r="203" spans="1:19" ht="15" x14ac:dyDescent="0.25">
      <c r="A203" s="20">
        <v>1884963</v>
      </c>
      <c r="B203" s="55">
        <v>0.25785000000000002</v>
      </c>
      <c r="C203" s="20">
        <f t="shared" si="27"/>
        <v>1.0571733585738059</v>
      </c>
      <c r="D203" s="71">
        <f t="shared" si="28"/>
        <v>3.3890481986457624E-2</v>
      </c>
      <c r="E203" s="21" t="str">
        <f t="shared" si="29"/>
        <v>G4</v>
      </c>
      <c r="I203"/>
      <c r="J203"/>
      <c r="K203"/>
      <c r="L203"/>
      <c r="M203"/>
      <c r="N203"/>
      <c r="O203"/>
      <c r="P203"/>
      <c r="Q203"/>
      <c r="R203"/>
      <c r="S203"/>
    </row>
    <row r="204" spans="1:19" ht="15" x14ac:dyDescent="0.25">
      <c r="A204" s="20">
        <v>1931808</v>
      </c>
      <c r="B204" s="55">
        <v>0.15784000000000001</v>
      </c>
      <c r="C204" s="20">
        <f t="shared" si="27"/>
        <v>1.6743881582287095</v>
      </c>
      <c r="D204" s="71">
        <f t="shared" si="28"/>
        <v>1.857192328671568E-2</v>
      </c>
      <c r="E204" s="21" t="str">
        <f t="shared" si="29"/>
        <v>G3</v>
      </c>
      <c r="I204"/>
      <c r="J204"/>
      <c r="K204"/>
      <c r="L204"/>
      <c r="M204"/>
      <c r="N204"/>
      <c r="O204"/>
      <c r="P204"/>
      <c r="Q204"/>
      <c r="R204"/>
      <c r="S204"/>
    </row>
    <row r="205" spans="1:19" ht="15" x14ac:dyDescent="0.25">
      <c r="A205" s="20">
        <v>1948308</v>
      </c>
      <c r="B205" s="55">
        <v>6.4200000000000004E-3</v>
      </c>
      <c r="C205" s="20">
        <f t="shared" si="27"/>
        <v>5.0418964644502804</v>
      </c>
      <c r="D205" s="71">
        <f>1/(1+$B$45*EXP(C205))</f>
        <v>6.5196591352062667E-4</v>
      </c>
      <c r="E205" s="21" t="str">
        <f t="shared" si="29"/>
        <v>G1</v>
      </c>
      <c r="I205"/>
      <c r="J205"/>
      <c r="K205"/>
      <c r="L205"/>
      <c r="M205"/>
      <c r="N205"/>
      <c r="O205"/>
      <c r="P205"/>
      <c r="Q205"/>
      <c r="R205"/>
      <c r="S205"/>
    </row>
    <row r="206" spans="1:19" ht="15" x14ac:dyDescent="0.25">
      <c r="A206" s="20">
        <v>1965629</v>
      </c>
      <c r="B206" s="55">
        <v>0.58421999999999996</v>
      </c>
      <c r="C206" s="20">
        <f t="shared" si="27"/>
        <v>-0.34012134999975163</v>
      </c>
      <c r="D206" s="71">
        <f t="shared" si="28"/>
        <v>0.12424311376156073</v>
      </c>
      <c r="E206" s="21" t="str">
        <f t="shared" si="29"/>
        <v>G5</v>
      </c>
      <c r="I206"/>
      <c r="J206"/>
      <c r="K206"/>
      <c r="L206"/>
      <c r="M206"/>
      <c r="N206"/>
      <c r="O206"/>
      <c r="P206"/>
      <c r="Q206"/>
      <c r="R206"/>
      <c r="S206"/>
    </row>
    <row r="207" spans="1:19" ht="15" x14ac:dyDescent="0.25">
      <c r="A207" s="20">
        <v>1975159</v>
      </c>
      <c r="B207" s="55">
        <v>0.14824999999999999</v>
      </c>
      <c r="C207" s="20">
        <f t="shared" si="27"/>
        <v>1.7483930186632413</v>
      </c>
      <c r="D207" s="71">
        <f t="shared" si="28"/>
        <v>1.7270014730171434E-2</v>
      </c>
      <c r="E207" s="21" t="str">
        <f t="shared" si="29"/>
        <v>G3</v>
      </c>
      <c r="I207"/>
      <c r="J207"/>
      <c r="K207"/>
      <c r="L207"/>
      <c r="M207"/>
      <c r="N207"/>
      <c r="O207"/>
      <c r="P207"/>
      <c r="Q207"/>
      <c r="R207"/>
      <c r="S207"/>
    </row>
    <row r="208" spans="1:19" ht="15" x14ac:dyDescent="0.25">
      <c r="A208" s="20">
        <v>1984847</v>
      </c>
      <c r="B208" s="55">
        <v>0.11171</v>
      </c>
      <c r="C208" s="20">
        <f t="shared" si="27"/>
        <v>2.0733920386714666</v>
      </c>
      <c r="D208" s="71">
        <f t="shared" si="28"/>
        <v>1.2538152398693977E-2</v>
      </c>
      <c r="E208" s="21" t="str">
        <f t="shared" si="29"/>
        <v>G3</v>
      </c>
      <c r="I208"/>
      <c r="J208"/>
      <c r="K208"/>
      <c r="L208"/>
      <c r="M208"/>
      <c r="N208"/>
      <c r="O208"/>
      <c r="P208"/>
      <c r="Q208"/>
      <c r="R208"/>
      <c r="S208"/>
    </row>
    <row r="209" spans="1:19" ht="15" x14ac:dyDescent="0.25">
      <c r="A209" s="20">
        <v>2014931</v>
      </c>
      <c r="B209" s="55">
        <v>0.15917999999999999</v>
      </c>
      <c r="C209" s="20">
        <f t="shared" si="27"/>
        <v>1.6643419687717831</v>
      </c>
      <c r="D209" s="71">
        <f t="shared" si="28"/>
        <v>1.8755923625146453E-2</v>
      </c>
      <c r="E209" s="21" t="str">
        <f t="shared" si="29"/>
        <v>G3</v>
      </c>
      <c r="I209"/>
      <c r="J209"/>
      <c r="K209"/>
      <c r="L209"/>
      <c r="M209"/>
      <c r="N209"/>
      <c r="O209"/>
      <c r="P209"/>
      <c r="Q209"/>
      <c r="R209"/>
      <c r="S209"/>
    </row>
    <row r="210" spans="1:19" ht="15" x14ac:dyDescent="0.25">
      <c r="A210" s="20">
        <v>2018206</v>
      </c>
      <c r="B210" s="55">
        <v>0.74297000000000002</v>
      </c>
      <c r="C210" s="20">
        <f t="shared" si="27"/>
        <v>-1.0614628574518505</v>
      </c>
      <c r="D210" s="71">
        <f t="shared" si="28"/>
        <v>0.22591781335397582</v>
      </c>
      <c r="E210" s="21" t="str">
        <f t="shared" si="29"/>
        <v>G6</v>
      </c>
      <c r="I210"/>
      <c r="J210"/>
      <c r="K210"/>
      <c r="L210"/>
      <c r="M210"/>
      <c r="N210"/>
      <c r="O210"/>
      <c r="P210"/>
      <c r="Q210"/>
      <c r="R210"/>
      <c r="S210"/>
    </row>
    <row r="211" spans="1:19" ht="15" x14ac:dyDescent="0.25">
      <c r="A211" s="20">
        <v>2034758</v>
      </c>
      <c r="B211" s="55">
        <v>1.0189999999999999E-2</v>
      </c>
      <c r="C211" s="20">
        <f t="shared" si="27"/>
        <v>4.5761061582832383</v>
      </c>
      <c r="D211" s="71">
        <f t="shared" si="28"/>
        <v>1.0383579684965223E-3</v>
      </c>
      <c r="E211" s="21" t="str">
        <f t="shared" si="29"/>
        <v>G1</v>
      </c>
      <c r="I211"/>
      <c r="J211"/>
      <c r="K211"/>
      <c r="L211"/>
      <c r="M211"/>
      <c r="N211"/>
      <c r="O211"/>
      <c r="P211"/>
      <c r="Q211"/>
      <c r="R211"/>
      <c r="S211"/>
    </row>
    <row r="212" spans="1:19" ht="15" x14ac:dyDescent="0.25">
      <c r="A212" s="20">
        <v>2043959</v>
      </c>
      <c r="B212" s="55">
        <v>4.6469999999999997E-2</v>
      </c>
      <c r="C212" s="20">
        <f t="shared" si="27"/>
        <v>3.0213639444795746</v>
      </c>
      <c r="D212" s="71">
        <f t="shared" si="28"/>
        <v>4.8964634995515791E-3</v>
      </c>
      <c r="E212" s="21" t="str">
        <f t="shared" si="29"/>
        <v>G2</v>
      </c>
      <c r="I212"/>
      <c r="J212"/>
      <c r="K212"/>
      <c r="L212"/>
      <c r="M212"/>
      <c r="N212"/>
      <c r="O212"/>
      <c r="P212"/>
      <c r="Q212"/>
      <c r="R212"/>
      <c r="S212"/>
    </row>
    <row r="213" spans="1:19" ht="15" x14ac:dyDescent="0.25">
      <c r="A213" s="20">
        <v>2054114</v>
      </c>
      <c r="B213" s="55">
        <v>0.20968000000000001</v>
      </c>
      <c r="C213" s="20">
        <f t="shared" si="27"/>
        <v>1.3268553677210677</v>
      </c>
      <c r="D213" s="71">
        <f t="shared" si="28"/>
        <v>2.6088521110718944E-2</v>
      </c>
      <c r="E213" s="21" t="str">
        <f t="shared" si="29"/>
        <v>G4</v>
      </c>
      <c r="I213"/>
      <c r="J213"/>
      <c r="K213"/>
      <c r="L213"/>
      <c r="M213"/>
      <c r="N213"/>
      <c r="O213"/>
      <c r="P213"/>
      <c r="Q213"/>
      <c r="R213"/>
      <c r="S213"/>
    </row>
    <row r="214" spans="1:19" ht="15" x14ac:dyDescent="0.25">
      <c r="A214" s="20">
        <v>2093985</v>
      </c>
      <c r="B214" s="55">
        <v>4.3110000000000002E-2</v>
      </c>
      <c r="C214" s="20">
        <f t="shared" si="27"/>
        <v>3.0999334535587768</v>
      </c>
      <c r="D214" s="71">
        <f t="shared" si="28"/>
        <v>4.5281513092133773E-3</v>
      </c>
      <c r="E214" s="21" t="str">
        <f t="shared" si="29"/>
        <v>G1</v>
      </c>
      <c r="I214"/>
      <c r="J214"/>
      <c r="K214"/>
      <c r="L214"/>
      <c r="M214"/>
      <c r="N214"/>
      <c r="O214"/>
      <c r="P214"/>
      <c r="Q214"/>
      <c r="R214"/>
      <c r="S214"/>
    </row>
    <row r="215" spans="1:19" ht="15" x14ac:dyDescent="0.25">
      <c r="A215" s="20">
        <v>2095690</v>
      </c>
      <c r="B215" s="55">
        <v>0.41553000000000001</v>
      </c>
      <c r="C215" s="20">
        <f t="shared" si="27"/>
        <v>0.34115063982019672</v>
      </c>
      <c r="D215" s="71">
        <f t="shared" si="28"/>
        <v>6.6974519222727361E-2</v>
      </c>
      <c r="E215" s="21" t="str">
        <f t="shared" si="29"/>
        <v>G5</v>
      </c>
      <c r="I215"/>
      <c r="J215"/>
      <c r="K215"/>
      <c r="L215"/>
      <c r="M215"/>
      <c r="N215"/>
      <c r="O215"/>
      <c r="P215"/>
      <c r="Q215"/>
      <c r="R215"/>
      <c r="S215"/>
    </row>
    <row r="216" spans="1:19" ht="15" x14ac:dyDescent="0.25">
      <c r="A216" s="20">
        <v>2180666</v>
      </c>
      <c r="B216" s="55">
        <v>3.6429999999999997E-2</v>
      </c>
      <c r="C216" s="20">
        <f t="shared" si="27"/>
        <v>3.2752525259852829</v>
      </c>
      <c r="D216" s="71">
        <f t="shared" si="28"/>
        <v>3.8027448125322427E-3</v>
      </c>
      <c r="E216" s="21" t="str">
        <f t="shared" si="29"/>
        <v>G1</v>
      </c>
      <c r="I216"/>
      <c r="J216"/>
      <c r="K216"/>
      <c r="L216"/>
      <c r="M216"/>
      <c r="N216"/>
      <c r="O216"/>
      <c r="P216"/>
      <c r="Q216"/>
      <c r="R216"/>
      <c r="S216"/>
    </row>
    <row r="217" spans="1:19" ht="15" x14ac:dyDescent="0.25">
      <c r="A217" s="20">
        <v>2185599</v>
      </c>
      <c r="B217" s="55">
        <v>4.6800000000000001E-2</v>
      </c>
      <c r="C217" s="20">
        <f t="shared" si="27"/>
        <v>3.0139415423009859</v>
      </c>
      <c r="D217" s="71">
        <f t="shared" si="28"/>
        <v>4.9327622924182158E-3</v>
      </c>
      <c r="E217" s="21" t="str">
        <f t="shared" si="29"/>
        <v>G2</v>
      </c>
      <c r="I217"/>
      <c r="J217"/>
      <c r="K217"/>
      <c r="L217"/>
      <c r="M217"/>
      <c r="N217"/>
      <c r="O217"/>
      <c r="P217"/>
      <c r="Q217"/>
      <c r="R217"/>
      <c r="S217"/>
    </row>
    <row r="218" spans="1:19" ht="15" x14ac:dyDescent="0.25">
      <c r="A218" s="20">
        <v>2185630</v>
      </c>
      <c r="B218" s="55">
        <v>0.76781999999999995</v>
      </c>
      <c r="C218" s="20">
        <f t="shared" si="27"/>
        <v>-1.1960423977676695</v>
      </c>
      <c r="D218" s="71">
        <f t="shared" si="28"/>
        <v>0.25031608035465008</v>
      </c>
      <c r="E218" s="21" t="str">
        <f t="shared" si="29"/>
        <v>G6</v>
      </c>
      <c r="I218"/>
      <c r="J218"/>
      <c r="K218"/>
      <c r="L218"/>
      <c r="M218"/>
      <c r="N218"/>
      <c r="O218"/>
      <c r="P218"/>
      <c r="Q218"/>
      <c r="R218"/>
      <c r="S218"/>
    </row>
    <row r="219" spans="1:19" ht="15" x14ac:dyDescent="0.25">
      <c r="A219" s="20">
        <v>2203208</v>
      </c>
      <c r="B219" s="55">
        <v>6.6220000000000001E-2</v>
      </c>
      <c r="C219" s="20">
        <f t="shared" si="27"/>
        <v>2.6462583323258735</v>
      </c>
      <c r="D219" s="71">
        <f t="shared" si="28"/>
        <v>7.1092211879055251E-3</v>
      </c>
      <c r="E219" s="21" t="str">
        <f t="shared" si="29"/>
        <v>G2</v>
      </c>
      <c r="I219"/>
      <c r="J219"/>
      <c r="K219"/>
      <c r="L219"/>
      <c r="M219"/>
      <c r="N219"/>
      <c r="O219"/>
      <c r="P219"/>
      <c r="Q219"/>
      <c r="R219"/>
      <c r="S219"/>
    </row>
    <row r="220" spans="1:19" ht="15" x14ac:dyDescent="0.25">
      <c r="A220" s="20">
        <v>2208537</v>
      </c>
      <c r="B220" s="55">
        <v>4.8009999999999997E-2</v>
      </c>
      <c r="C220" s="20">
        <f t="shared" si="27"/>
        <v>2.9871452079916661</v>
      </c>
      <c r="D220" s="71">
        <f t="shared" si="28"/>
        <v>5.0660504511594543E-3</v>
      </c>
      <c r="E220" s="21" t="str">
        <f t="shared" si="29"/>
        <v>G2</v>
      </c>
      <c r="I220"/>
      <c r="J220"/>
      <c r="K220"/>
      <c r="L220"/>
      <c r="M220"/>
      <c r="N220"/>
      <c r="O220"/>
      <c r="P220"/>
      <c r="Q220"/>
      <c r="R220"/>
      <c r="S220"/>
    </row>
    <row r="221" spans="1:19" ht="15" x14ac:dyDescent="0.25">
      <c r="A221" s="20">
        <v>2229794</v>
      </c>
      <c r="B221" s="55">
        <v>5.2400000000000002E-2</v>
      </c>
      <c r="C221" s="20">
        <f t="shared" si="27"/>
        <v>2.8950258809576339</v>
      </c>
      <c r="D221" s="71">
        <f t="shared" si="28"/>
        <v>5.5521881145171497E-3</v>
      </c>
      <c r="E221" s="21" t="str">
        <f t="shared" si="29"/>
        <v>G2</v>
      </c>
      <c r="I221"/>
      <c r="J221"/>
      <c r="K221"/>
      <c r="L221"/>
      <c r="M221"/>
      <c r="N221"/>
      <c r="O221"/>
      <c r="P221"/>
      <c r="Q221"/>
      <c r="R221"/>
      <c r="S221"/>
    </row>
    <row r="222" spans="1:19" ht="15" x14ac:dyDescent="0.25">
      <c r="A222" s="20">
        <v>2247018</v>
      </c>
      <c r="B222" s="55">
        <v>0.86414999999999997</v>
      </c>
      <c r="C222" s="20">
        <f t="shared" si="27"/>
        <v>-1.8501950289741449</v>
      </c>
      <c r="D222" s="71">
        <f t="shared" si="28"/>
        <v>0.39108003529970808</v>
      </c>
      <c r="E222" s="21" t="str">
        <f t="shared" si="29"/>
        <v>G7</v>
      </c>
      <c r="I222"/>
      <c r="J222"/>
      <c r="K222"/>
      <c r="L222"/>
      <c r="M222"/>
      <c r="N222"/>
      <c r="O222"/>
      <c r="P222"/>
      <c r="Q222"/>
      <c r="R222"/>
      <c r="S222"/>
    </row>
    <row r="223" spans="1:19" ht="15" x14ac:dyDescent="0.25">
      <c r="A223" s="20">
        <v>2250711</v>
      </c>
      <c r="B223" s="55">
        <v>5.2400000000000002E-2</v>
      </c>
      <c r="C223" s="20">
        <f t="shared" si="27"/>
        <v>2.8950258809576339</v>
      </c>
      <c r="D223" s="71">
        <f t="shared" si="28"/>
        <v>5.5521881145171497E-3</v>
      </c>
      <c r="E223" s="21" t="str">
        <f t="shared" si="29"/>
        <v>G2</v>
      </c>
      <c r="I223"/>
      <c r="J223"/>
      <c r="K223"/>
      <c r="L223"/>
      <c r="M223"/>
      <c r="N223"/>
      <c r="O223"/>
      <c r="P223"/>
      <c r="Q223"/>
      <c r="R223"/>
      <c r="S223"/>
    </row>
    <row r="224" spans="1:19" ht="15" x14ac:dyDescent="0.25">
      <c r="A224" s="20">
        <v>2272737</v>
      </c>
      <c r="B224" s="55">
        <v>0.59853000000000001</v>
      </c>
      <c r="C224" s="20">
        <f t="shared" si="27"/>
        <v>-0.39934383826067366</v>
      </c>
      <c r="D224" s="71">
        <f t="shared" si="28"/>
        <v>0.13083161095747009</v>
      </c>
      <c r="E224" s="21" t="str">
        <f t="shared" si="29"/>
        <v>G6</v>
      </c>
      <c r="I224"/>
      <c r="J224"/>
      <c r="K224"/>
      <c r="L224"/>
      <c r="M224"/>
      <c r="N224"/>
      <c r="O224"/>
      <c r="P224"/>
      <c r="Q224"/>
      <c r="R224"/>
      <c r="S224"/>
    </row>
    <row r="225" spans="1:19" ht="15" x14ac:dyDescent="0.25">
      <c r="A225" s="20">
        <v>2355618</v>
      </c>
      <c r="B225" s="55">
        <v>2.1749999999999999E-2</v>
      </c>
      <c r="C225" s="20">
        <f t="shared" si="27"/>
        <v>3.8061515035558289</v>
      </c>
      <c r="D225" s="71">
        <f t="shared" si="28"/>
        <v>2.2398117390377273E-3</v>
      </c>
      <c r="E225" s="21" t="str">
        <f t="shared" si="29"/>
        <v>G1</v>
      </c>
      <c r="I225"/>
      <c r="J225"/>
      <c r="K225"/>
      <c r="L225"/>
      <c r="M225"/>
      <c r="N225"/>
      <c r="O225"/>
      <c r="P225"/>
      <c r="Q225"/>
      <c r="R225"/>
      <c r="S225"/>
    </row>
    <row r="226" spans="1:19" ht="15" x14ac:dyDescent="0.25">
      <c r="A226" s="20">
        <v>2368857</v>
      </c>
      <c r="B226" s="55">
        <v>2.1360000000000001E-2</v>
      </c>
      <c r="C226" s="20">
        <f t="shared" si="27"/>
        <v>3.8246438386466668</v>
      </c>
      <c r="D226" s="71">
        <f t="shared" si="28"/>
        <v>2.1988632488160174E-3</v>
      </c>
      <c r="E226" s="21" t="str">
        <f t="shared" si="29"/>
        <v>G1</v>
      </c>
      <c r="I226"/>
      <c r="J226"/>
      <c r="K226"/>
      <c r="L226"/>
      <c r="M226"/>
      <c r="N226"/>
      <c r="O226"/>
      <c r="P226"/>
      <c r="Q226"/>
      <c r="R226"/>
      <c r="S226"/>
    </row>
    <row r="227" spans="1:19" ht="15" x14ac:dyDescent="0.25">
      <c r="A227" s="20">
        <v>2422125</v>
      </c>
      <c r="B227" s="55">
        <v>4.5499999999999999E-2</v>
      </c>
      <c r="C227" s="20">
        <f t="shared" si="27"/>
        <v>3.0434753172088977</v>
      </c>
      <c r="D227" s="71">
        <f t="shared" si="28"/>
        <v>4.7898970672048827E-3</v>
      </c>
      <c r="E227" s="21" t="str">
        <f t="shared" si="29"/>
        <v>G2</v>
      </c>
      <c r="I227"/>
      <c r="J227"/>
      <c r="K227"/>
      <c r="L227"/>
      <c r="M227"/>
      <c r="N227"/>
      <c r="O227"/>
      <c r="P227"/>
      <c r="Q227"/>
      <c r="R227"/>
      <c r="S227"/>
    </row>
    <row r="228" spans="1:19" ht="15" x14ac:dyDescent="0.25">
      <c r="A228" s="20">
        <v>2587818</v>
      </c>
      <c r="B228" s="55">
        <v>6.9080000000000003E-2</v>
      </c>
      <c r="C228" s="20">
        <f t="shared" si="27"/>
        <v>2.600908091197986</v>
      </c>
      <c r="D228" s="71">
        <f t="shared" si="28"/>
        <v>7.4365956374738626E-3</v>
      </c>
      <c r="E228" s="21" t="str">
        <f t="shared" si="29"/>
        <v>G2</v>
      </c>
      <c r="I228"/>
      <c r="J228"/>
      <c r="K228"/>
      <c r="L228"/>
      <c r="M228"/>
      <c r="N228"/>
      <c r="O228"/>
      <c r="P228"/>
      <c r="Q228"/>
      <c r="R228"/>
      <c r="S228"/>
    </row>
    <row r="229" spans="1:19" ht="15" x14ac:dyDescent="0.25">
      <c r="A229" s="20">
        <v>2588685</v>
      </c>
      <c r="B229" s="55">
        <v>6.93E-2</v>
      </c>
      <c r="C229" s="20">
        <f t="shared" si="27"/>
        <v>2.5974920849958072</v>
      </c>
      <c r="D229" s="71">
        <f t="shared" si="28"/>
        <v>7.4618526519414138E-3</v>
      </c>
      <c r="E229" s="21" t="str">
        <f t="shared" si="29"/>
        <v>G2</v>
      </c>
      <c r="I229"/>
      <c r="J229"/>
      <c r="K229"/>
      <c r="L229"/>
      <c r="M229"/>
      <c r="N229"/>
      <c r="O229"/>
      <c r="P229"/>
      <c r="Q229"/>
      <c r="R229"/>
      <c r="S229"/>
    </row>
    <row r="230" spans="1:19" ht="15" x14ac:dyDescent="0.25">
      <c r="A230" s="20">
        <v>2659414</v>
      </c>
      <c r="B230" s="55">
        <v>3.424E-2</v>
      </c>
      <c r="C230" s="20">
        <f t="shared" si="27"/>
        <v>3.339520804865888</v>
      </c>
      <c r="D230" s="71">
        <f t="shared" si="28"/>
        <v>3.5668811346391961E-3</v>
      </c>
      <c r="E230" s="21" t="str">
        <f t="shared" si="29"/>
        <v>G1</v>
      </c>
      <c r="I230"/>
      <c r="J230"/>
      <c r="K230"/>
      <c r="L230"/>
      <c r="M230"/>
      <c r="N230"/>
      <c r="O230"/>
      <c r="P230"/>
      <c r="Q230"/>
      <c r="R230"/>
      <c r="S230"/>
    </row>
    <row r="231" spans="1:19" ht="15" x14ac:dyDescent="0.25">
      <c r="A231" s="20">
        <v>2724782</v>
      </c>
      <c r="B231" s="55">
        <v>2.5180000000000001E-2</v>
      </c>
      <c r="C231" s="20">
        <f t="shared" si="27"/>
        <v>3.6562028099535127</v>
      </c>
      <c r="D231" s="71">
        <f t="shared" si="28"/>
        <v>2.6012139288312838E-3</v>
      </c>
      <c r="E231" s="21" t="str">
        <f t="shared" si="29"/>
        <v>G1</v>
      </c>
      <c r="I231"/>
      <c r="J231"/>
      <c r="K231"/>
      <c r="L231"/>
      <c r="M231"/>
      <c r="N231"/>
      <c r="O231"/>
      <c r="P231"/>
      <c r="Q231"/>
      <c r="R231"/>
      <c r="S231"/>
    </row>
    <row r="232" spans="1:19" ht="15" x14ac:dyDescent="0.25">
      <c r="A232" s="20">
        <v>2837622</v>
      </c>
      <c r="B232" s="55">
        <v>2.98E-3</v>
      </c>
      <c r="C232" s="20">
        <f t="shared" si="27"/>
        <v>5.8128475294238644</v>
      </c>
      <c r="D232" s="71">
        <f t="shared" si="28"/>
        <v>3.0168748425915678E-4</v>
      </c>
      <c r="E232" s="21" t="str">
        <f t="shared" si="29"/>
        <v>G1</v>
      </c>
      <c r="I232"/>
      <c r="J232"/>
      <c r="K232"/>
      <c r="L232"/>
      <c r="M232"/>
      <c r="N232"/>
      <c r="O232"/>
      <c r="P232"/>
      <c r="Q232"/>
      <c r="R232"/>
      <c r="S232"/>
    </row>
    <row r="233" spans="1:19" ht="15" x14ac:dyDescent="0.25">
      <c r="A233" s="20">
        <v>2872037</v>
      </c>
      <c r="B233" s="55">
        <v>4.4299999999999999E-3</v>
      </c>
      <c r="C233" s="20">
        <f t="shared" si="27"/>
        <v>5.4149158533990303</v>
      </c>
      <c r="D233" s="71">
        <f t="shared" si="28"/>
        <v>4.4906870807496287E-4</v>
      </c>
      <c r="E233" s="21" t="str">
        <f t="shared" si="29"/>
        <v>G1</v>
      </c>
      <c r="I233"/>
      <c r="J233"/>
      <c r="K233"/>
      <c r="L233"/>
      <c r="M233"/>
      <c r="N233"/>
      <c r="O233"/>
      <c r="P233"/>
      <c r="Q233"/>
      <c r="R233"/>
      <c r="S233"/>
    </row>
    <row r="234" spans="1:19" ht="15" x14ac:dyDescent="0.25">
      <c r="A234" s="20">
        <v>2896815</v>
      </c>
      <c r="B234" s="55">
        <v>0.78680000000000005</v>
      </c>
      <c r="C234" s="20">
        <f t="shared" si="27"/>
        <v>-1.3057433942232148</v>
      </c>
      <c r="D234" s="71">
        <f t="shared" si="28"/>
        <v>0.27146029517707526</v>
      </c>
      <c r="E234" s="21" t="str">
        <f t="shared" si="29"/>
        <v>G6</v>
      </c>
      <c r="I234"/>
      <c r="J234"/>
      <c r="K234"/>
      <c r="L234"/>
      <c r="M234"/>
      <c r="N234"/>
      <c r="O234"/>
      <c r="P234"/>
      <c r="Q234"/>
      <c r="R234"/>
      <c r="S234"/>
    </row>
    <row r="235" spans="1:19" ht="15" x14ac:dyDescent="0.25">
      <c r="A235" s="20">
        <v>2899832</v>
      </c>
      <c r="B235" s="55">
        <v>1.8190000000000001E-2</v>
      </c>
      <c r="C235" s="20">
        <f t="shared" si="27"/>
        <v>3.988525814415854</v>
      </c>
      <c r="D235" s="71">
        <f t="shared" si="28"/>
        <v>1.8671084982454693E-3</v>
      </c>
      <c r="E235" s="21" t="str">
        <f t="shared" si="29"/>
        <v>G1</v>
      </c>
      <c r="I235"/>
      <c r="J235"/>
      <c r="K235"/>
      <c r="L235"/>
      <c r="M235"/>
      <c r="N235"/>
      <c r="O235"/>
      <c r="P235"/>
      <c r="Q235"/>
      <c r="R235"/>
      <c r="S235"/>
    </row>
    <row r="236" spans="1:19" ht="15" x14ac:dyDescent="0.25">
      <c r="A236" s="20">
        <v>2934324</v>
      </c>
      <c r="B236" s="55">
        <v>3.65E-3</v>
      </c>
      <c r="C236" s="20">
        <f t="shared" si="27"/>
        <v>5.6093714338841929</v>
      </c>
      <c r="D236" s="71">
        <f t="shared" si="28"/>
        <v>3.6973986158007834E-4</v>
      </c>
      <c r="E236" s="21" t="str">
        <f t="shared" si="29"/>
        <v>G1</v>
      </c>
      <c r="I236"/>
      <c r="J236"/>
      <c r="K236"/>
      <c r="L236"/>
      <c r="M236"/>
      <c r="N236"/>
      <c r="O236"/>
      <c r="P236"/>
      <c r="Q236"/>
      <c r="R236"/>
      <c r="S236"/>
    </row>
    <row r="237" spans="1:19" ht="15" x14ac:dyDescent="0.25">
      <c r="A237" s="20">
        <v>2972356</v>
      </c>
      <c r="B237" s="55">
        <v>8.1399999999999997E-3</v>
      </c>
      <c r="C237" s="20">
        <f t="shared" si="27"/>
        <v>4.8027917882785269</v>
      </c>
      <c r="D237" s="71">
        <f t="shared" si="28"/>
        <v>8.2792359112906393E-4</v>
      </c>
      <c r="E237" s="21" t="str">
        <f t="shared" si="29"/>
        <v>G1</v>
      </c>
      <c r="I237"/>
      <c r="J237"/>
      <c r="K237"/>
      <c r="L237"/>
      <c r="M237"/>
      <c r="N237"/>
      <c r="O237"/>
      <c r="P237"/>
      <c r="Q237"/>
      <c r="R237"/>
      <c r="S237"/>
    </row>
    <row r="238" spans="1:19" ht="15" x14ac:dyDescent="0.25">
      <c r="A238" s="20">
        <v>2990101</v>
      </c>
      <c r="B238" s="55">
        <v>0.77905999999999997</v>
      </c>
      <c r="C238" s="20">
        <f t="shared" si="27"/>
        <v>-1.2601968932834404</v>
      </c>
      <c r="D238" s="71">
        <f t="shared" si="28"/>
        <v>0.26254690372148998</v>
      </c>
      <c r="E238" s="21" t="str">
        <f t="shared" si="29"/>
        <v>G6</v>
      </c>
      <c r="I238"/>
      <c r="J238"/>
      <c r="K238"/>
      <c r="L238"/>
      <c r="M238"/>
      <c r="N238"/>
      <c r="O238"/>
      <c r="P238"/>
      <c r="Q238"/>
      <c r="R238"/>
      <c r="S238"/>
    </row>
    <row r="239" spans="1:19" ht="15" x14ac:dyDescent="0.25">
      <c r="A239" s="20">
        <v>3025471</v>
      </c>
      <c r="B239" s="55">
        <v>0.10249</v>
      </c>
      <c r="C239" s="20">
        <f t="shared" si="27"/>
        <v>2.1698590295181717</v>
      </c>
      <c r="D239" s="71">
        <f t="shared" si="28"/>
        <v>1.139828462079806E-2</v>
      </c>
      <c r="E239" s="21" t="str">
        <f t="shared" si="29"/>
        <v>G2</v>
      </c>
      <c r="I239"/>
      <c r="J239"/>
      <c r="K239"/>
      <c r="L239"/>
      <c r="M239"/>
      <c r="N239"/>
      <c r="O239"/>
      <c r="P239"/>
      <c r="Q239"/>
      <c r="R239"/>
      <c r="S239"/>
    </row>
    <row r="240" spans="1:19" ht="15" x14ac:dyDescent="0.25">
      <c r="A240" s="20">
        <v>3035999</v>
      </c>
      <c r="B240" s="55">
        <v>2.8490000000000001E-2</v>
      </c>
      <c r="C240" s="20">
        <f t="shared" si="27"/>
        <v>3.5292984136154839</v>
      </c>
      <c r="D240" s="71">
        <f t="shared" si="28"/>
        <v>2.9521411591907072E-3</v>
      </c>
      <c r="E240" s="21" t="str">
        <f t="shared" si="29"/>
        <v>G1</v>
      </c>
      <c r="I240"/>
      <c r="J240"/>
      <c r="K240"/>
      <c r="L240"/>
      <c r="M240"/>
      <c r="N240"/>
      <c r="O240"/>
      <c r="P240"/>
      <c r="Q240"/>
      <c r="R240"/>
      <c r="S240"/>
    </row>
    <row r="241" spans="1:19" ht="15" x14ac:dyDescent="0.25">
      <c r="A241" s="20">
        <v>3074398</v>
      </c>
      <c r="B241" s="55">
        <v>3.6920000000000001E-2</v>
      </c>
      <c r="C241" s="20">
        <f t="shared" si="27"/>
        <v>3.2613830724409767</v>
      </c>
      <c r="D241" s="71">
        <f t="shared" si="28"/>
        <v>3.8556494817737429E-3</v>
      </c>
      <c r="E241" s="21" t="str">
        <f t="shared" si="29"/>
        <v>G1</v>
      </c>
      <c r="I241"/>
      <c r="J241"/>
      <c r="K241"/>
      <c r="L241"/>
      <c r="M241"/>
      <c r="N241"/>
      <c r="O241"/>
      <c r="P241"/>
      <c r="Q241"/>
      <c r="R241"/>
      <c r="S241"/>
    </row>
    <row r="242" spans="1:19" ht="15" x14ac:dyDescent="0.25">
      <c r="A242" s="20">
        <v>3077019</v>
      </c>
      <c r="B242" s="55">
        <v>0.10979999999999999</v>
      </c>
      <c r="C242" s="20">
        <f t="shared" si="27"/>
        <v>2.0927856275063239</v>
      </c>
      <c r="D242" s="71">
        <f t="shared" si="28"/>
        <v>1.2300297449345328E-2</v>
      </c>
      <c r="E242" s="21" t="str">
        <f t="shared" si="29"/>
        <v>G2</v>
      </c>
      <c r="I242"/>
      <c r="J242"/>
      <c r="K242"/>
      <c r="L242"/>
      <c r="M242"/>
      <c r="N242"/>
      <c r="O242"/>
      <c r="P242"/>
      <c r="Q242"/>
      <c r="R242"/>
      <c r="S242"/>
    </row>
    <row r="243" spans="1:19" ht="15" x14ac:dyDescent="0.25">
      <c r="A243" s="20">
        <v>3078574</v>
      </c>
      <c r="B243" s="55">
        <v>2.9340000000000001E-2</v>
      </c>
      <c r="C243" s="20">
        <f t="shared" si="27"/>
        <v>3.4990244797781771</v>
      </c>
      <c r="D243" s="71">
        <f t="shared" si="28"/>
        <v>3.0426045917098308E-3</v>
      </c>
      <c r="E243" s="21" t="str">
        <f t="shared" si="29"/>
        <v>G1</v>
      </c>
      <c r="I243"/>
      <c r="J243"/>
      <c r="K243"/>
      <c r="L243"/>
      <c r="M243"/>
      <c r="N243"/>
      <c r="O243"/>
      <c r="P243"/>
      <c r="Q243"/>
      <c r="R243"/>
      <c r="S243"/>
    </row>
    <row r="244" spans="1:19" ht="15" x14ac:dyDescent="0.25">
      <c r="A244" s="20">
        <v>3107830</v>
      </c>
      <c r="B244" s="55">
        <v>0.21562000000000001</v>
      </c>
      <c r="C244" s="20">
        <f t="shared" si="27"/>
        <v>1.2913759976908517</v>
      </c>
      <c r="D244" s="71">
        <f t="shared" si="28"/>
        <v>2.7005296323401838E-2</v>
      </c>
      <c r="E244" s="21" t="str">
        <f t="shared" si="29"/>
        <v>G4</v>
      </c>
      <c r="I244"/>
      <c r="J244"/>
      <c r="K244"/>
      <c r="L244"/>
      <c r="M244"/>
      <c r="N244"/>
      <c r="O244"/>
      <c r="P244"/>
      <c r="Q244"/>
      <c r="R244"/>
      <c r="S244"/>
    </row>
    <row r="245" spans="1:19" ht="15" x14ac:dyDescent="0.25">
      <c r="A245" s="20">
        <v>3133104</v>
      </c>
      <c r="B245" s="55">
        <v>2.3040000000000001E-2</v>
      </c>
      <c r="C245" s="20">
        <f t="shared" si="27"/>
        <v>3.7472138737188225</v>
      </c>
      <c r="D245" s="71">
        <f t="shared" si="28"/>
        <v>2.3754656452543259E-3</v>
      </c>
      <c r="E245" s="21" t="str">
        <f t="shared" si="29"/>
        <v>G1</v>
      </c>
      <c r="I245"/>
      <c r="J245"/>
      <c r="K245"/>
      <c r="L245"/>
      <c r="M245"/>
      <c r="N245"/>
      <c r="O245"/>
      <c r="P245"/>
      <c r="Q245"/>
      <c r="R245"/>
      <c r="S245"/>
    </row>
    <row r="246" spans="1:19" ht="15" x14ac:dyDescent="0.25">
      <c r="A246" s="20">
        <v>3166971</v>
      </c>
      <c r="B246" s="55">
        <v>3.7470000000000003E-2</v>
      </c>
      <c r="C246" s="20">
        <f t="shared" si="27"/>
        <v>3.2460246217017743</v>
      </c>
      <c r="D246" s="71">
        <f t="shared" si="28"/>
        <v>3.9150897319861081E-3</v>
      </c>
      <c r="E246" s="21" t="str">
        <f t="shared" si="29"/>
        <v>G1</v>
      </c>
      <c r="I246"/>
      <c r="J246"/>
      <c r="K246"/>
      <c r="L246"/>
      <c r="M246"/>
      <c r="N246"/>
      <c r="O246"/>
      <c r="P246"/>
      <c r="Q246"/>
      <c r="R246"/>
      <c r="S246"/>
    </row>
    <row r="247" spans="1:19" ht="15" x14ac:dyDescent="0.25">
      <c r="A247" s="20">
        <v>3191487</v>
      </c>
      <c r="B247" s="55">
        <v>5.6800000000000003E-2</v>
      </c>
      <c r="C247" s="20">
        <f t="shared" si="27"/>
        <v>2.8097420234960553</v>
      </c>
      <c r="D247" s="71">
        <f t="shared" si="28"/>
        <v>6.0434908154334459E-3</v>
      </c>
      <c r="E247" s="21" t="str">
        <f t="shared" si="29"/>
        <v>G2</v>
      </c>
      <c r="I247"/>
      <c r="J247"/>
      <c r="K247"/>
      <c r="L247"/>
      <c r="M247"/>
      <c r="N247"/>
      <c r="O247"/>
      <c r="P247"/>
      <c r="Q247"/>
      <c r="R247"/>
      <c r="S247"/>
    </row>
    <row r="248" spans="1:19" ht="15" x14ac:dyDescent="0.25">
      <c r="A248" s="20">
        <v>3214207</v>
      </c>
      <c r="B248" s="55">
        <v>0.18176</v>
      </c>
      <c r="C248" s="20">
        <f t="shared" si="27"/>
        <v>1.5044685565700351</v>
      </c>
      <c r="D248" s="71">
        <f t="shared" si="28"/>
        <v>2.1936167216894061E-2</v>
      </c>
      <c r="E248" s="21" t="str">
        <f t="shared" si="29"/>
        <v>G3</v>
      </c>
      <c r="I248"/>
      <c r="J248"/>
      <c r="K248"/>
      <c r="L248"/>
      <c r="M248"/>
      <c r="N248"/>
      <c r="O248"/>
      <c r="P248"/>
      <c r="Q248"/>
      <c r="R248"/>
      <c r="S248"/>
    </row>
    <row r="249" spans="1:19" ht="15" x14ac:dyDescent="0.25">
      <c r="A249" s="20">
        <v>3214630</v>
      </c>
      <c r="B249" s="55">
        <v>2.513E-2</v>
      </c>
      <c r="C249" s="20">
        <f t="shared" si="27"/>
        <v>3.6582417772193341</v>
      </c>
      <c r="D249" s="71">
        <f t="shared" si="28"/>
        <v>2.5959292964700302E-3</v>
      </c>
      <c r="E249" s="21" t="str">
        <f t="shared" si="29"/>
        <v>G1</v>
      </c>
      <c r="I249"/>
      <c r="J249"/>
      <c r="K249"/>
      <c r="L249"/>
      <c r="M249"/>
      <c r="N249"/>
      <c r="O249"/>
      <c r="P249"/>
      <c r="Q249"/>
      <c r="R249"/>
      <c r="S249"/>
    </row>
    <row r="250" spans="1:19" ht="15" x14ac:dyDescent="0.25">
      <c r="I250"/>
      <c r="J250"/>
      <c r="K250"/>
      <c r="L250"/>
      <c r="M250"/>
      <c r="N250"/>
      <c r="O250"/>
      <c r="P250"/>
      <c r="Q250"/>
      <c r="R250"/>
      <c r="S250"/>
    </row>
    <row r="251" spans="1:19" ht="15" x14ac:dyDescent="0.25">
      <c r="I251"/>
      <c r="J251"/>
      <c r="K251"/>
      <c r="L251"/>
      <c r="M251"/>
      <c r="N251"/>
      <c r="O251"/>
      <c r="P251"/>
      <c r="Q251"/>
      <c r="R251"/>
      <c r="S251"/>
    </row>
    <row r="252" spans="1:19" ht="15" x14ac:dyDescent="0.25">
      <c r="I252"/>
      <c r="J252"/>
      <c r="K252"/>
      <c r="L252"/>
      <c r="M252"/>
      <c r="N252"/>
      <c r="O252"/>
      <c r="P252"/>
      <c r="Q252"/>
      <c r="R252"/>
      <c r="S252"/>
    </row>
    <row r="253" spans="1:19" ht="15" x14ac:dyDescent="0.25">
      <c r="I253"/>
      <c r="J253"/>
      <c r="K253"/>
      <c r="L253"/>
      <c r="M253"/>
      <c r="N253"/>
      <c r="O253"/>
      <c r="P253"/>
      <c r="Q253"/>
      <c r="R253"/>
      <c r="S253"/>
    </row>
    <row r="254" spans="1:19" ht="15" x14ac:dyDescent="0.25">
      <c r="I254"/>
      <c r="J254"/>
      <c r="K254"/>
      <c r="L254"/>
      <c r="M254"/>
      <c r="N254"/>
      <c r="O254"/>
      <c r="P254"/>
      <c r="Q254"/>
      <c r="R254"/>
      <c r="S254"/>
    </row>
    <row r="255" spans="1:19" ht="15" x14ac:dyDescent="0.25">
      <c r="I255"/>
      <c r="J255"/>
      <c r="K255"/>
      <c r="L255"/>
      <c r="M255"/>
      <c r="N255"/>
      <c r="O255"/>
      <c r="P255"/>
      <c r="Q255"/>
      <c r="R255"/>
      <c r="S255"/>
    </row>
    <row r="256" spans="1:19" ht="15" x14ac:dyDescent="0.25">
      <c r="I256"/>
      <c r="J256"/>
      <c r="K256"/>
      <c r="L256"/>
      <c r="M256"/>
      <c r="N256"/>
      <c r="O256"/>
      <c r="P256"/>
      <c r="Q256"/>
      <c r="R256"/>
      <c r="S256"/>
    </row>
    <row r="257" spans="9:19" ht="15" x14ac:dyDescent="0.25">
      <c r="I257"/>
      <c r="J257"/>
      <c r="K257"/>
      <c r="L257"/>
      <c r="M257"/>
      <c r="N257"/>
      <c r="O257"/>
      <c r="P257"/>
      <c r="Q257"/>
      <c r="R257"/>
      <c r="S257"/>
    </row>
    <row r="258" spans="9:19" ht="15" x14ac:dyDescent="0.25">
      <c r="I258"/>
      <c r="J258"/>
      <c r="K258"/>
      <c r="L258"/>
      <c r="M258"/>
      <c r="N258"/>
      <c r="O258"/>
      <c r="P258"/>
      <c r="Q258"/>
      <c r="R258"/>
      <c r="S258"/>
    </row>
    <row r="259" spans="9:19" ht="15" x14ac:dyDescent="0.25">
      <c r="I259"/>
      <c r="J259"/>
      <c r="K259"/>
      <c r="L259"/>
      <c r="M259"/>
      <c r="N259"/>
      <c r="O259"/>
      <c r="P259"/>
      <c r="Q259"/>
      <c r="R259"/>
      <c r="S259"/>
    </row>
    <row r="260" spans="9:19" ht="15" x14ac:dyDescent="0.25">
      <c r="I260"/>
      <c r="J260"/>
      <c r="K260"/>
      <c r="L260"/>
      <c r="M260"/>
      <c r="N260"/>
      <c r="O260"/>
      <c r="P260"/>
      <c r="Q260"/>
      <c r="R260"/>
      <c r="S260"/>
    </row>
    <row r="261" spans="9:19" ht="15" x14ac:dyDescent="0.25">
      <c r="I261"/>
    </row>
    <row r="262" spans="9:19" ht="15" x14ac:dyDescent="0.25">
      <c r="I262"/>
    </row>
    <row r="263" spans="9:19" ht="15" x14ac:dyDescent="0.25">
      <c r="I263"/>
    </row>
    <row r="264" spans="9:19" ht="15" x14ac:dyDescent="0.25">
      <c r="I264"/>
    </row>
    <row r="265" spans="9:19" ht="15" x14ac:dyDescent="0.25">
      <c r="I265"/>
    </row>
    <row r="266" spans="9:19" ht="15" x14ac:dyDescent="0.25">
      <c r="I266"/>
    </row>
  </sheetData>
  <sortState ref="V5:Y11">
    <sortCondition ref="V5:V11"/>
  </sortState>
  <mergeCells count="1">
    <mergeCell ref="K2:M2"/>
  </mergeCell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35"/>
  <sheetViews>
    <sheetView zoomScale="85" zoomScaleNormal="85" workbookViewId="0">
      <selection activeCell="L33" sqref="L33"/>
    </sheetView>
  </sheetViews>
  <sheetFormatPr defaultRowHeight="12" x14ac:dyDescent="0.2"/>
  <cols>
    <col min="1" max="3" width="9.140625" style="24"/>
    <col min="4" max="4" width="17.5703125" style="25" bestFit="1" customWidth="1"/>
    <col min="5" max="16384" width="9.140625" style="24"/>
  </cols>
  <sheetData>
    <row r="1" spans="1:4" s="27" customFormat="1" x14ac:dyDescent="0.2">
      <c r="A1" s="27" t="s">
        <v>141</v>
      </c>
      <c r="D1" s="28"/>
    </row>
    <row r="3" spans="1:4" x14ac:dyDescent="0.2">
      <c r="C3" s="44" t="s">
        <v>108</v>
      </c>
      <c r="D3" s="45" t="s">
        <v>160</v>
      </c>
    </row>
    <row r="4" spans="1:4" x14ac:dyDescent="0.2">
      <c r="C4" s="44" t="s">
        <v>109</v>
      </c>
      <c r="D4" s="42">
        <v>3.8058556682635469</v>
      </c>
    </row>
    <row r="5" spans="1:4" x14ac:dyDescent="0.2">
      <c r="C5" s="44" t="s">
        <v>110</v>
      </c>
      <c r="D5" s="42">
        <v>2.7892915751152287</v>
      </c>
    </row>
    <row r="6" spans="1:4" x14ac:dyDescent="0.2">
      <c r="C6" s="44" t="s">
        <v>111</v>
      </c>
      <c r="D6" s="42">
        <v>3.5834696326453752</v>
      </c>
    </row>
    <row r="7" spans="1:4" x14ac:dyDescent="0.2">
      <c r="C7" s="44" t="s">
        <v>112</v>
      </c>
      <c r="D7" s="42">
        <v>5.135011671015647</v>
      </c>
    </row>
    <row r="8" spans="1:4" x14ac:dyDescent="0.2">
      <c r="C8" s="44" t="s">
        <v>113</v>
      </c>
      <c r="D8" s="42">
        <v>7.3645128931532469</v>
      </c>
    </row>
    <row r="9" spans="1:4" x14ac:dyDescent="0.2">
      <c r="C9" s="44" t="s">
        <v>114</v>
      </c>
      <c r="D9" s="42">
        <v>5.100918140390462</v>
      </c>
    </row>
    <row r="10" spans="1:4" x14ac:dyDescent="0.2">
      <c r="C10" s="44" t="s">
        <v>115</v>
      </c>
      <c r="D10" s="42">
        <v>5.9608439317528479</v>
      </c>
    </row>
    <row r="11" spans="1:4" x14ac:dyDescent="0.2">
      <c r="C11" s="44" t="s">
        <v>116</v>
      </c>
      <c r="D11" s="42">
        <v>8.6460474595585879</v>
      </c>
    </row>
    <row r="12" spans="1:4" x14ac:dyDescent="0.2">
      <c r="C12" s="44" t="s">
        <v>117</v>
      </c>
      <c r="D12" s="42">
        <v>8.0727306571156845</v>
      </c>
    </row>
    <row r="13" spans="1:4" x14ac:dyDescent="0.2">
      <c r="C13" s="44" t="s">
        <v>118</v>
      </c>
      <c r="D13" s="42">
        <v>8.8389809524012293</v>
      </c>
    </row>
    <row r="14" spans="1:4" x14ac:dyDescent="0.2">
      <c r="C14" s="44" t="s">
        <v>119</v>
      </c>
      <c r="D14" s="42">
        <v>9.5404801749010772</v>
      </c>
    </row>
    <row r="15" spans="1:4" x14ac:dyDescent="0.2">
      <c r="C15" s="44" t="s">
        <v>120</v>
      </c>
      <c r="D15" s="42">
        <v>9.3400174959913187</v>
      </c>
    </row>
    <row r="16" spans="1:4" x14ac:dyDescent="0.2">
      <c r="C16" s="44" t="s">
        <v>121</v>
      </c>
      <c r="D16" s="42">
        <v>8.1520841432948714</v>
      </c>
    </row>
    <row r="17" spans="3:4" x14ac:dyDescent="0.2">
      <c r="C17" s="44" t="s">
        <v>122</v>
      </c>
      <c r="D17" s="42">
        <v>5.7644554639502985</v>
      </c>
    </row>
    <row r="18" spans="3:4" x14ac:dyDescent="0.2">
      <c r="C18" s="44" t="s">
        <v>123</v>
      </c>
      <c r="D18" s="42">
        <v>4.7735868805724522</v>
      </c>
    </row>
    <row r="19" spans="3:4" x14ac:dyDescent="0.2">
      <c r="C19" s="44" t="s">
        <v>124</v>
      </c>
      <c r="D19" s="42">
        <v>6.7873164082219688</v>
      </c>
    </row>
    <row r="20" spans="3:4" x14ac:dyDescent="0.2">
      <c r="C20" s="44" t="s">
        <v>125</v>
      </c>
      <c r="D20" s="42">
        <v>6.1928933118122984</v>
      </c>
    </row>
    <row r="21" spans="3:4" x14ac:dyDescent="0.2">
      <c r="C21" s="44" t="s">
        <v>126</v>
      </c>
      <c r="D21" s="42">
        <v>6.3208209877104906</v>
      </c>
    </row>
    <row r="22" spans="3:4" x14ac:dyDescent="0.2">
      <c r="C22" s="44" t="s">
        <v>127</v>
      </c>
      <c r="D22" s="42">
        <v>6.899063491742325</v>
      </c>
    </row>
    <row r="23" spans="3:4" x14ac:dyDescent="0.2">
      <c r="C23" s="44" t="s">
        <v>128</v>
      </c>
      <c r="D23" s="42">
        <v>7.5364106118205711</v>
      </c>
    </row>
    <row r="24" spans="3:4" x14ac:dyDescent="0.2">
      <c r="C24" s="44" t="s">
        <v>129</v>
      </c>
      <c r="D24" s="42">
        <v>7.5472477272280969</v>
      </c>
    </row>
    <row r="25" spans="3:4" x14ac:dyDescent="0.2">
      <c r="C25" s="44" t="s">
        <v>130</v>
      </c>
      <c r="D25" s="42">
        <v>6.9779548118334702</v>
      </c>
    </row>
    <row r="26" spans="3:4" x14ac:dyDescent="0.2">
      <c r="C26" s="44" t="s">
        <v>131</v>
      </c>
      <c r="D26" s="42">
        <v>7.1295044839632311</v>
      </c>
    </row>
    <row r="27" spans="3:4" x14ac:dyDescent="0.2">
      <c r="C27" s="44" t="s">
        <v>132</v>
      </c>
      <c r="D27" s="42">
        <v>5.6617712080243194</v>
      </c>
    </row>
    <row r="28" spans="3:4" x14ac:dyDescent="0.2">
      <c r="C28" s="44" t="s">
        <v>133</v>
      </c>
      <c r="D28" s="42">
        <v>5.3978975427667564</v>
      </c>
    </row>
    <row r="29" spans="3:4" x14ac:dyDescent="0.2">
      <c r="C29" s="44" t="s">
        <v>134</v>
      </c>
      <c r="D29" s="42">
        <v>6.4232382171749691</v>
      </c>
    </row>
    <row r="30" spans="3:4" x14ac:dyDescent="0.2">
      <c r="C30" s="44" t="s">
        <v>135</v>
      </c>
      <c r="D30" s="42">
        <v>6.2403027488752656</v>
      </c>
    </row>
    <row r="31" spans="3:4" x14ac:dyDescent="0.2">
      <c r="C31" s="44" t="s">
        <v>136</v>
      </c>
      <c r="D31" s="42">
        <v>5.2473671560486963</v>
      </c>
    </row>
    <row r="32" spans="3:4" x14ac:dyDescent="0.2">
      <c r="C32" s="44" t="s">
        <v>137</v>
      </c>
      <c r="D32" s="42">
        <v>5.4218829913071289</v>
      </c>
    </row>
    <row r="33" spans="3:4" x14ac:dyDescent="0.2">
      <c r="C33" s="44" t="s">
        <v>138</v>
      </c>
      <c r="D33" s="42">
        <v>5.983654636978514</v>
      </c>
    </row>
    <row r="34" spans="3:4" x14ac:dyDescent="0.2">
      <c r="C34" s="44" t="s">
        <v>139</v>
      </c>
      <c r="D34" s="42">
        <v>6.6792887889142776</v>
      </c>
    </row>
    <row r="35" spans="3:4" x14ac:dyDescent="0.2">
      <c r="C35" s="44" t="s">
        <v>140</v>
      </c>
      <c r="D35" s="42">
        <v>6.2108116678999181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47"/>
  <sheetViews>
    <sheetView zoomScale="85" zoomScaleNormal="85" workbookViewId="0"/>
  </sheetViews>
  <sheetFormatPr defaultRowHeight="12" x14ac:dyDescent="0.2"/>
  <cols>
    <col min="1" max="1" width="9.140625" style="24"/>
    <col min="2" max="2" width="7.42578125" style="41" bestFit="1" customWidth="1"/>
    <col min="3" max="3" width="18" style="41" bestFit="1" customWidth="1"/>
    <col min="4" max="4" width="9.140625" style="24" customWidth="1"/>
    <col min="5" max="16384" width="9.140625" style="24"/>
  </cols>
  <sheetData>
    <row r="1" spans="1:3" x14ac:dyDescent="0.2">
      <c r="A1" s="27" t="s">
        <v>143</v>
      </c>
    </row>
    <row r="2" spans="1:3" x14ac:dyDescent="0.2">
      <c r="A2" s="27"/>
    </row>
    <row r="3" spans="1:3" x14ac:dyDescent="0.2">
      <c r="B3" s="42" t="s">
        <v>108</v>
      </c>
      <c r="C3" s="42" t="s">
        <v>142</v>
      </c>
    </row>
    <row r="4" spans="1:3" x14ac:dyDescent="0.2">
      <c r="B4" s="43">
        <v>1980</v>
      </c>
      <c r="C4" s="42">
        <v>-3.4969999999999999</v>
      </c>
    </row>
    <row r="5" spans="1:3" x14ac:dyDescent="0.2">
      <c r="B5" s="43">
        <v>1981</v>
      </c>
      <c r="C5" s="42">
        <v>5.7969999999999997</v>
      </c>
    </row>
    <row r="6" spans="1:3" x14ac:dyDescent="0.2">
      <c r="B6" s="43">
        <v>1982</v>
      </c>
      <c r="C6" s="42">
        <v>8.15</v>
      </c>
    </row>
    <row r="7" spans="1:3" x14ac:dyDescent="0.2">
      <c r="B7" s="43">
        <v>1983</v>
      </c>
      <c r="C7" s="42">
        <v>7.093</v>
      </c>
    </row>
    <row r="8" spans="1:3" x14ac:dyDescent="0.2">
      <c r="B8" s="43">
        <v>1984</v>
      </c>
      <c r="C8" s="42">
        <v>8.3970000000000002</v>
      </c>
    </row>
    <row r="9" spans="1:3" x14ac:dyDescent="0.2">
      <c r="B9" s="43">
        <v>1985</v>
      </c>
      <c r="C9" s="42">
        <v>5.6189999999999998</v>
      </c>
    </row>
    <row r="10" spans="1:3" x14ac:dyDescent="0.2">
      <c r="B10" s="43">
        <v>1986</v>
      </c>
      <c r="C10" s="42">
        <v>3.3570000000000002</v>
      </c>
    </row>
    <row r="11" spans="1:3" x14ac:dyDescent="0.2">
      <c r="B11" s="43">
        <v>1987</v>
      </c>
      <c r="C11" s="42">
        <v>2.5489999999999999</v>
      </c>
    </row>
    <row r="12" spans="1:3" x14ac:dyDescent="0.2">
      <c r="B12" s="43">
        <v>1988</v>
      </c>
      <c r="C12" s="42">
        <v>5.0999999999999996</v>
      </c>
    </row>
    <row r="13" spans="1:3" x14ac:dyDescent="0.2">
      <c r="B13" s="43">
        <v>1989</v>
      </c>
      <c r="C13" s="42">
        <v>7.8</v>
      </c>
    </row>
    <row r="14" spans="1:3" x14ac:dyDescent="0.2">
      <c r="B14" s="43">
        <v>1990</v>
      </c>
      <c r="C14" s="42">
        <v>5.0469999999999997</v>
      </c>
    </row>
    <row r="15" spans="1:3" x14ac:dyDescent="0.2">
      <c r="B15" s="43">
        <v>1991</v>
      </c>
      <c r="C15" s="42">
        <v>5.8090000000000002</v>
      </c>
    </row>
    <row r="16" spans="1:3" x14ac:dyDescent="0.2">
      <c r="B16" s="43">
        <v>1992</v>
      </c>
      <c r="C16" s="42">
        <v>8.6999999999999993</v>
      </c>
    </row>
    <row r="17" spans="2:9" x14ac:dyDescent="0.2">
      <c r="B17" s="43">
        <v>1993</v>
      </c>
      <c r="C17" s="42">
        <v>8.0779999999999994</v>
      </c>
    </row>
    <row r="18" spans="2:9" x14ac:dyDescent="0.2">
      <c r="B18" s="43">
        <v>1994</v>
      </c>
      <c r="C18" s="42">
        <v>8.8339999999999996</v>
      </c>
    </row>
    <row r="19" spans="2:9" x14ac:dyDescent="0.2">
      <c r="B19" s="43">
        <v>1995</v>
      </c>
      <c r="C19" s="42">
        <v>9.5399999999999991</v>
      </c>
    </row>
    <row r="20" spans="2:9" x14ac:dyDescent="0.2">
      <c r="B20" s="43">
        <v>1996</v>
      </c>
      <c r="C20" s="42">
        <v>9.34</v>
      </c>
    </row>
    <row r="21" spans="2:9" x14ac:dyDescent="0.2">
      <c r="B21" s="43">
        <v>1997</v>
      </c>
      <c r="C21" s="42">
        <v>8.1519999999999992</v>
      </c>
    </row>
    <row r="22" spans="2:9" x14ac:dyDescent="0.2">
      <c r="B22" s="43">
        <v>1998</v>
      </c>
      <c r="C22" s="42">
        <v>5.7649999999999997</v>
      </c>
    </row>
    <row r="23" spans="2:9" x14ac:dyDescent="0.2">
      <c r="B23" s="43">
        <v>1999</v>
      </c>
      <c r="C23" s="42">
        <v>4.774</v>
      </c>
    </row>
    <row r="24" spans="2:9" x14ac:dyDescent="0.2">
      <c r="B24" s="43">
        <v>2000</v>
      </c>
      <c r="C24" s="42">
        <v>6.7869999999999999</v>
      </c>
    </row>
    <row r="25" spans="2:9" x14ac:dyDescent="0.2">
      <c r="B25" s="43">
        <v>2001</v>
      </c>
      <c r="C25" s="42">
        <v>6.8949999999999996</v>
      </c>
    </row>
    <row r="26" spans="2:9" x14ac:dyDescent="0.2">
      <c r="B26" s="43">
        <v>2002</v>
      </c>
      <c r="C26" s="42">
        <v>7.08</v>
      </c>
    </row>
    <row r="27" spans="2:9" x14ac:dyDescent="0.2">
      <c r="B27" s="43">
        <v>2003</v>
      </c>
      <c r="C27" s="42">
        <v>7.3410000000000002</v>
      </c>
    </row>
    <row r="28" spans="2:9" x14ac:dyDescent="0.2">
      <c r="B28" s="43">
        <v>2004</v>
      </c>
      <c r="C28" s="42">
        <v>7.7889999999999997</v>
      </c>
    </row>
    <row r="29" spans="2:9" x14ac:dyDescent="0.2">
      <c r="B29" s="43">
        <v>2005</v>
      </c>
      <c r="C29" s="42">
        <v>7.5469999999999997</v>
      </c>
      <c r="G29" s="24" t="s">
        <v>145</v>
      </c>
      <c r="H29" s="24" t="s">
        <v>146</v>
      </c>
      <c r="I29" s="24" t="s">
        <v>148</v>
      </c>
    </row>
    <row r="30" spans="2:9" x14ac:dyDescent="0.2">
      <c r="B30" s="43">
        <v>2006</v>
      </c>
      <c r="C30" s="42">
        <v>6.9779999999999998</v>
      </c>
      <c r="E30" s="24" t="s">
        <v>149</v>
      </c>
      <c r="G30" s="24">
        <v>1980</v>
      </c>
      <c r="H30" s="24">
        <v>2018</v>
      </c>
      <c r="I30" s="24">
        <f>H30-G30+1</f>
        <v>39</v>
      </c>
    </row>
    <row r="31" spans="2:9" x14ac:dyDescent="0.2">
      <c r="B31" s="43">
        <v>2007</v>
      </c>
      <c r="C31" s="42">
        <v>7.1289999999999996</v>
      </c>
      <c r="E31" s="24" t="s">
        <v>144</v>
      </c>
      <c r="G31" s="24">
        <v>1988</v>
      </c>
      <c r="H31" s="24">
        <v>2018</v>
      </c>
      <c r="I31" s="24">
        <f>H31-G31+1</f>
        <v>31</v>
      </c>
    </row>
    <row r="32" spans="2:9" x14ac:dyDescent="0.2">
      <c r="B32" s="43">
        <v>2008</v>
      </c>
      <c r="C32" s="42">
        <v>5.6619999999999999</v>
      </c>
      <c r="E32" s="24" t="s">
        <v>147</v>
      </c>
      <c r="I32" s="24">
        <v>4</v>
      </c>
    </row>
    <row r="33" spans="2:10" x14ac:dyDescent="0.2">
      <c r="B33" s="43">
        <v>2009</v>
      </c>
      <c r="C33" s="42">
        <v>5.3979999999999997</v>
      </c>
      <c r="E33" s="24" t="s">
        <v>150</v>
      </c>
      <c r="I33" s="25">
        <v>0.1</v>
      </c>
      <c r="J33" s="26" t="s">
        <v>191</v>
      </c>
    </row>
    <row r="34" spans="2:10" x14ac:dyDescent="0.2">
      <c r="B34" s="43">
        <v>2010</v>
      </c>
      <c r="C34" s="42">
        <v>6.423</v>
      </c>
      <c r="J34" s="24" t="s">
        <v>188</v>
      </c>
    </row>
    <row r="35" spans="2:10" x14ac:dyDescent="0.2">
      <c r="B35" s="43">
        <v>2011</v>
      </c>
      <c r="C35" s="42">
        <v>6.24</v>
      </c>
    </row>
    <row r="36" spans="2:10" x14ac:dyDescent="0.2">
      <c r="B36" s="43">
        <v>2012</v>
      </c>
      <c r="C36" s="42">
        <v>5.2469999999999999</v>
      </c>
    </row>
    <row r="37" spans="2:10" x14ac:dyDescent="0.2">
      <c r="B37" s="43">
        <v>2013</v>
      </c>
      <c r="C37" s="42">
        <v>5.4219999999999997</v>
      </c>
    </row>
    <row r="38" spans="2:10" x14ac:dyDescent="0.2">
      <c r="B38" s="43">
        <v>2014</v>
      </c>
      <c r="C38" s="42">
        <v>5.984</v>
      </c>
    </row>
    <row r="39" spans="2:10" x14ac:dyDescent="0.2">
      <c r="B39" s="43">
        <v>2015</v>
      </c>
      <c r="C39" s="42">
        <v>6.6790000000000003</v>
      </c>
    </row>
    <row r="40" spans="2:10" x14ac:dyDescent="0.2">
      <c r="B40" s="43">
        <v>2016</v>
      </c>
      <c r="C40" s="42">
        <v>6.2110000000000003</v>
      </c>
    </row>
    <row r="41" spans="2:10" x14ac:dyDescent="0.2">
      <c r="B41" s="43">
        <v>2017</v>
      </c>
      <c r="C41" s="42">
        <v>6.8120000000000003</v>
      </c>
    </row>
    <row r="42" spans="2:10" x14ac:dyDescent="0.2">
      <c r="B42" s="43">
        <v>2018</v>
      </c>
      <c r="C42" s="42">
        <v>6.6</v>
      </c>
    </row>
    <row r="43" spans="2:10" x14ac:dyDescent="0.2">
      <c r="B43" s="43">
        <v>2019</v>
      </c>
      <c r="C43" s="42">
        <v>6.5</v>
      </c>
    </row>
    <row r="44" spans="2:10" x14ac:dyDescent="0.2">
      <c r="B44" s="43">
        <v>2020</v>
      </c>
      <c r="C44" s="42">
        <v>6.5</v>
      </c>
    </row>
    <row r="45" spans="2:10" x14ac:dyDescent="0.2">
      <c r="B45" s="43">
        <v>2021</v>
      </c>
      <c r="C45" s="42">
        <v>6.5</v>
      </c>
    </row>
    <row r="46" spans="2:10" x14ac:dyDescent="0.2">
      <c r="B46" s="43">
        <v>2022</v>
      </c>
      <c r="C46" s="42">
        <v>6.5</v>
      </c>
    </row>
    <row r="47" spans="2:10" x14ac:dyDescent="0.2">
      <c r="B47" s="43">
        <v>2023</v>
      </c>
      <c r="C47" s="42">
        <v>6.5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TTC_PD</vt:lpstr>
      <vt:lpstr>Sheet3</vt:lpstr>
      <vt:lpstr>PD Calibration</vt:lpstr>
      <vt:lpstr>World bank</vt:lpstr>
      <vt:lpstr>IMF_Downturn frequency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9Slide</dc:creator>
  <cp:lastModifiedBy>Long Pham Hoang (RMD - IRMD)</cp:lastModifiedBy>
  <dcterms:created xsi:type="dcterms:W3CDTF">2018-06-12T02:01:52Z</dcterms:created>
  <dcterms:modified xsi:type="dcterms:W3CDTF">2018-11-30T11:59:10Z</dcterms:modified>
</cp:coreProperties>
</file>